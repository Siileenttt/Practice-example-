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falfs1\Group\TCS\DC-Operator\oncallReport_project\"/>
    </mc:Choice>
  </mc:AlternateContent>
  <xr:revisionPtr revIDLastSave="0" documentId="13_ncr:1_{BA4EE41C-4E63-4597-B378-C3C251385F56}" xr6:coauthVersionLast="47" xr6:coauthVersionMax="47" xr10:uidLastSave="{00000000-0000-0000-0000-000000000000}"/>
  <bookViews>
    <workbookView xWindow="-120" yWindow="-120" windowWidth="20730" windowHeight="11160" xr2:uid="{321FB44A-7E45-41A7-9CEF-AC272F8128DB}"/>
  </bookViews>
  <sheets>
    <sheet name="OnCall" sheetId="8" r:id="rId1"/>
    <sheet name="DCOPERATOR" sheetId="1" r:id="rId2"/>
    <sheet name="Windows" sheetId="2" r:id="rId3"/>
    <sheet name="Iseries" sheetId="3" r:id="rId4"/>
    <sheet name="DCUNIX" sheetId="5" r:id="rId5"/>
    <sheet name="Network" sheetId="4" r:id="rId6"/>
    <sheet name="WebTeam" sheetId="6" r:id="rId7"/>
    <sheet name="MYSQL" sheetId="7" r:id="rId8"/>
  </sheets>
  <functionGroups builtInGroupCount="19"/>
  <definedNames>
    <definedName name="ExternalData_1" localSheetId="4" hidden="1">DCUNIX!$A$1:$T$24</definedName>
    <definedName name="ExternalData_1" localSheetId="3" hidden="1">Iseries!$A$1:$BA$36</definedName>
    <definedName name="ExternalData_1" localSheetId="2" hidden="1">Windows!$A$1:$Q$37</definedName>
    <definedName name="query" localSheetId="1" hidden="1">DCOPERATOR!$A$1:$F$10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6" l="1"/>
  <c r="A1" i="4"/>
  <c r="D7" i="4" s="1"/>
  <c r="E7" i="4" s="1"/>
  <c r="I12" i="8" s="1"/>
  <c r="A13" i="1" a="1"/>
  <c r="A13" i="1" s="1"/>
  <c r="A14" i="1" a="1"/>
  <c r="A43" i="2" a="1"/>
  <c r="A40" i="3" a="1"/>
  <c r="A17" i="7" a="1"/>
  <c r="A43" i="5" a="1"/>
  <c r="A40" i="3" l="1"/>
  <c r="D40" i="3" s="1"/>
  <c r="E8" i="8" s="1"/>
  <c r="A43" i="2"/>
  <c r="A14" i="1"/>
  <c r="A43" i="5"/>
  <c r="E38" i="5" s="1"/>
  <c r="G8" i="8" s="1"/>
  <c r="A17" i="7"/>
  <c r="AA17" i="7" s="1"/>
  <c r="C3" i="8"/>
  <c r="B11" i="8"/>
  <c r="B9" i="8"/>
  <c r="B8" i="8"/>
  <c r="E39" i="2"/>
  <c r="C41" i="3"/>
  <c r="C18" i="1"/>
  <c r="E40" i="3" l="1"/>
  <c r="E12" i="8" s="1"/>
  <c r="K8" i="8"/>
  <c r="AB17" i="7"/>
  <c r="K12" i="8" s="1"/>
  <c r="F38" i="5"/>
  <c r="G12" i="8" s="1"/>
  <c r="F39" i="2"/>
  <c r="F12" i="8" s="1"/>
  <c r="F8" i="8"/>
  <c r="D8" i="8"/>
  <c r="D18" i="1"/>
  <c r="D12" i="8" s="1"/>
  <c r="A37" i="5"/>
  <c r="J3" i="7"/>
  <c r="K3" i="7" s="1"/>
  <c r="L3" i="7" s="1"/>
  <c r="M3" i="7" s="1"/>
  <c r="N3" i="7" s="1"/>
  <c r="O3" i="7" s="1"/>
  <c r="P3" i="7" s="1"/>
  <c r="Q3" i="7" s="1"/>
  <c r="R3" i="7" s="1"/>
  <c r="S3" i="7" s="1"/>
  <c r="T3" i="7" s="1"/>
  <c r="U3" i="7" s="1"/>
  <c r="V3" i="7" s="1"/>
  <c r="W3" i="7" s="1"/>
  <c r="X3" i="7" s="1"/>
  <c r="Y3" i="7" s="1"/>
  <c r="Z3" i="7" s="1"/>
  <c r="AA3" i="7" s="1"/>
  <c r="AB3" i="7" s="1"/>
  <c r="AC3" i="7" s="1"/>
  <c r="AD3" i="7" s="1"/>
  <c r="AE3" i="7" s="1"/>
  <c r="AF3" i="7" s="1"/>
  <c r="AG3" i="7" s="1"/>
  <c r="AH3" i="7" s="1"/>
  <c r="AI3" i="7" s="1"/>
  <c r="AJ3" i="7" s="1"/>
  <c r="AK3" i="7" s="1"/>
  <c r="AL3" i="7" s="1"/>
  <c r="AM3" i="7" s="1"/>
  <c r="AN3" i="7" s="1"/>
  <c r="AO3" i="7" s="1"/>
  <c r="AP3" i="7" s="1"/>
  <c r="AQ3" i="7" s="1"/>
  <c r="AR3" i="7" s="1"/>
  <c r="AS3" i="7" s="1"/>
  <c r="AT3" i="7" s="1"/>
  <c r="AU3" i="7" s="1"/>
  <c r="AV3" i="7" s="1"/>
  <c r="AW3" i="7" s="1"/>
  <c r="AX3" i="7" s="1"/>
  <c r="AY3" i="7" s="1"/>
  <c r="AZ3" i="7" s="1"/>
  <c r="BA3" i="7" s="1"/>
  <c r="BB3" i="7" s="1"/>
  <c r="BC3" i="7" s="1"/>
  <c r="BD3" i="7" s="1"/>
  <c r="F2" i="7"/>
  <c r="G2" i="7" s="1"/>
  <c r="H2" i="7" s="1"/>
  <c r="I2" i="7" s="1"/>
  <c r="J2" i="7" s="1"/>
  <c r="K2" i="7" s="1"/>
  <c r="L2" i="7" s="1"/>
  <c r="M2" i="7" s="1"/>
  <c r="N2" i="7" s="1"/>
  <c r="O2" i="7" s="1"/>
  <c r="P2" i="7" s="1"/>
  <c r="Q2" i="7" s="1"/>
  <c r="R2" i="7" s="1"/>
  <c r="S2" i="7" s="1"/>
  <c r="T2" i="7" s="1"/>
  <c r="U2" i="7" s="1"/>
  <c r="V2" i="7" s="1"/>
  <c r="W2" i="7" s="1"/>
  <c r="X2" i="7" s="1"/>
  <c r="Y2" i="7" s="1"/>
  <c r="Z2" i="7" s="1"/>
  <c r="AA2" i="7" s="1"/>
  <c r="AB2" i="7" s="1"/>
  <c r="AC2" i="7" s="1"/>
  <c r="AD2" i="7" s="1"/>
  <c r="AE2" i="7" s="1"/>
  <c r="AF2" i="7" s="1"/>
  <c r="AG2" i="7" s="1"/>
  <c r="AH2" i="7" s="1"/>
  <c r="AI2" i="7" s="1"/>
  <c r="AJ2" i="7" s="1"/>
  <c r="AK2" i="7" s="1"/>
  <c r="AL2" i="7" s="1"/>
  <c r="AM2" i="7" s="1"/>
  <c r="AN2" i="7" s="1"/>
  <c r="AO2" i="7" s="1"/>
  <c r="AP2" i="7" s="1"/>
  <c r="AQ2" i="7" s="1"/>
  <c r="AR2" i="7" s="1"/>
  <c r="AS2" i="7" s="1"/>
  <c r="AT2" i="7" s="1"/>
  <c r="AU2" i="7" s="1"/>
  <c r="AV2" i="7" s="1"/>
  <c r="AW2" i="7" s="1"/>
  <c r="AX2" i="7" s="1"/>
  <c r="AY2" i="7" s="1"/>
  <c r="AZ2" i="7" s="1"/>
  <c r="BA2" i="7" s="1"/>
  <c r="BB2" i="7" s="1"/>
  <c r="BC2" i="7" s="1"/>
  <c r="BD2" i="7" s="1"/>
  <c r="BE2" i="7" s="1"/>
  <c r="C27" i="5"/>
  <c r="L8" i="8"/>
  <c r="D7" i="6"/>
  <c r="E7" i="6" s="1"/>
  <c r="J12" i="8" s="1"/>
  <c r="L12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92C1A5B-76D2-4C5B-9ED2-D9193174344A}" odcFile="\\seemm1app1142\UserFolders$\TCS091\Downloads\query.iqy" keepAlive="1" name="query" type="5" refreshedVersion="8" minRefreshableVersion="3" saveData="1">
    <dbPr connection="Provider=Microsoft.Office.List.OLEDB.2.0;Data Source=&quot;&quot;;ApplicationName=Excel;Version=12.0.0.0" command="&lt;LIST&gt;&lt;VIEWGUID&gt;{263FE2BE-69BF-4D1C-90A2-D7F4A604F2C4}&lt;/VIEWGUID&gt;&lt;LISTNAME&gt;{E84682D6-2F25-4A99-9444-4EAC81202A13}&lt;/LISTNAME&gt;&lt;LISTWEB&gt;https://1xylem.sharepoint.com/sites/IS/dc/operations/_vti_bin&lt;/LISTWEB&gt;&lt;LISTSUBWEB&gt;&lt;/LISTSUBWEB&gt;&lt;ROOTFOLDER&gt;/sites/IS/dc/operations/Lists/Calendar&lt;/ROOTFOLDER&gt;&lt;/LIST&gt;" commandType="5"/>
  </connection>
  <connection id="2" xr16:uid="{54DA196E-FB05-4547-A4FE-BACFC7C0004B}" keepAlive="1" name="Query - Iseries" description="Connection to the 'Iseries' query in the workbook." type="5" refreshedVersion="8" background="1" saveData="1">
    <dbPr connection="Provider=Microsoft.Mashup.OleDb.1;Data Source=$Workbook$;Location=Iseries;Extended Properties=&quot;&quot;" command="SELECT * FROM [Iseries]"/>
  </connection>
  <connection id="3" xr16:uid="{67F3CD4E-81C8-4368-8C67-D4FAF0264F76}" keepAlive="1" name="Query - Sheet1" description="Connection to the 'Sheet1' query in the workbook." type="5" refreshedVersion="8" background="1" saveData="1">
    <dbPr connection="Provider=Microsoft.Mashup.OleDb.1;Data Source=$Workbook$;Location=Sheet1;Extended Properties=&quot;&quot;" command="SELECT * FROM [Sheet1]"/>
  </connection>
  <connection id="4" xr16:uid="{F4D4EDFF-903A-4021-A5AB-08DFAC5F4DE1}" keepAlive="1" name="Query - Table001 (Page 1)" description="Connection to the 'Table001 (Page 1)' query in the workbook." type="5" refreshedVersion="8" background="1" saveData="1">
    <dbPr connection="Provider=Microsoft.Mashup.OleDb.1;Data Source=$Workbook$;Location=&quot;Table001 (Page 1)&quot;;Extended Properties=&quot;&quot;" command="SELECT * FROM [Table001 (Page 1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<sst xmlns="http://schemas.openxmlformats.org/spreadsheetml/2006/main" count="872" uniqueCount="199">
  <si>
    <t>Title</t>
  </si>
  <si>
    <t>Start Time</t>
  </si>
  <si>
    <t>End Time</t>
  </si>
  <si>
    <t>Recurrence</t>
  </si>
  <si>
    <t>Path</t>
  </si>
  <si>
    <t>Item Type</t>
  </si>
  <si>
    <t>Beredskap John</t>
  </si>
  <si>
    <t>sites/IS/dc/operations/Lists/Calendar</t>
  </si>
  <si>
    <t>Item</t>
  </si>
  <si>
    <t>Beredskap Kegert</t>
  </si>
  <si>
    <t>Beredskap Anton</t>
  </si>
  <si>
    <t>Beredskap Jimmy</t>
  </si>
  <si>
    <t>Column1</t>
  </si>
  <si>
    <t>oncall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</si>
  <si>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</si>
  <si>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</si>
  <si>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</si>
  <si>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</si>
  <si>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</si>
  <si>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</si>
  <si>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</si>
  <si>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</si>
  <si>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</si>
  <si>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</si>
  <si>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</si>
  <si>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</si>
  <si>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</si>
  <si>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</si>
  <si>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</si>
  <si>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</si>
  <si>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Jerker Olin</t>
  </si>
  <si>
    <t>B</t>
  </si>
  <si>
    <t>Johan Lindqvist</t>
  </si>
  <si>
    <t>Stefan Fedoriw</t>
  </si>
  <si>
    <t>Stefan Svensson</t>
  </si>
  <si>
    <t>Jul Helg</t>
  </si>
  <si>
    <t>Stefan F</t>
  </si>
  <si>
    <t>Johan</t>
  </si>
  <si>
    <t>Stefan S</t>
  </si>
  <si>
    <t>Jerker</t>
  </si>
  <si>
    <t>Nyårs Helg</t>
  </si>
  <si>
    <t>Johan L</t>
  </si>
  <si>
    <t>Påsk</t>
  </si>
  <si>
    <t>Midsommar</t>
  </si>
  <si>
    <t>Skiftbyte måndag 07:30</t>
  </si>
  <si>
    <t>B = Beredskap</t>
  </si>
  <si>
    <t>S = Semester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</si>
  <si>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</si>
  <si>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</si>
  <si>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</si>
  <si>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</si>
  <si>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</si>
  <si>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</si>
  <si>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</si>
  <si>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</si>
  <si>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</si>
  <si>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</si>
  <si>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</si>
  <si>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</si>
  <si>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</si>
  <si>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</si>
  <si>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</si>
  <si>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</si>
  <si>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</si>
  <si>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</si>
  <si>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</si>
  <si>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</si>
  <si>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</si>
  <si>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</si>
  <si>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</si>
  <si>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</si>
  <si>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</si>
  <si>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</si>
  <si>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</si>
  <si>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</si>
  <si>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</si>
  <si>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</si>
  <si>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</si>
  <si>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</si>
  <si>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</si>
  <si>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</si>
  <si>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</si>
  <si>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</si>
  <si>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 xml:space="preserve"> </t>
  </si>
  <si>
    <t>Mike Berglund 070-5938641</t>
  </si>
  <si>
    <t>Peter Hall 070-871 72 67</t>
  </si>
  <si>
    <t>Fredrik Nyström 070-6181667</t>
  </si>
  <si>
    <t>Johan Jonsson 070-8887192</t>
  </si>
  <si>
    <t>todaysoncall</t>
  </si>
  <si>
    <t>Andrea Da Dalt 39 349 2700423 E21</t>
  </si>
  <si>
    <t>O = Oncall</t>
  </si>
  <si>
    <t>B = Backup oncall</t>
  </si>
  <si>
    <t>S = Vacation</t>
  </si>
  <si>
    <t>F = Vacation</t>
  </si>
  <si>
    <t>x = out of office</t>
  </si>
  <si>
    <t>x---- = out of office Monday (etc)</t>
  </si>
  <si>
    <t>Special</t>
  </si>
  <si>
    <t>IPOC +46 10 207 04 04</t>
  </si>
  <si>
    <t>O</t>
  </si>
  <si>
    <t>:</t>
  </si>
  <si>
    <t>Erik Sandell 070-6660349</t>
  </si>
  <si>
    <t xml:space="preserve">Andrea Da Dalt 39 349 2700423 </t>
  </si>
  <si>
    <t>X=Application ESD</t>
  </si>
  <si>
    <t>2025</t>
  </si>
  <si>
    <t>Hans-Göran Karlsson</t>
  </si>
  <si>
    <t/>
  </si>
  <si>
    <t>HG</t>
  </si>
  <si>
    <t>Ingemar Carlsson</t>
  </si>
  <si>
    <t>IC</t>
  </si>
  <si>
    <t>Henrik Magnusson</t>
  </si>
  <si>
    <t>HM</t>
  </si>
  <si>
    <t>Lennart Karlsson</t>
  </si>
  <si>
    <t>LK</t>
  </si>
  <si>
    <t>Ulf Björklund</t>
  </si>
  <si>
    <t>V1 -25</t>
  </si>
  <si>
    <t>Turnover monday 07:30</t>
  </si>
  <si>
    <t>GMT +1</t>
  </si>
  <si>
    <t>2026</t>
  </si>
  <si>
    <t>2027</t>
  </si>
  <si>
    <t>2028</t>
  </si>
  <si>
    <t>+46 471 247850</t>
  </si>
  <si>
    <t>Last update 25 September 2019 by Henrik Magnusson</t>
  </si>
  <si>
    <t>Midsom</t>
  </si>
  <si>
    <t>Jul</t>
  </si>
  <si>
    <t>+46 70 8557301</t>
  </si>
  <si>
    <t>Nyår</t>
  </si>
  <si>
    <t>Week start with</t>
  </si>
  <si>
    <t>Week</t>
  </si>
  <si>
    <t>EU Weeks</t>
  </si>
  <si>
    <t>2023 Weekly On Call Schedule - SQL DBA</t>
  </si>
  <si>
    <t>Contractors</t>
  </si>
  <si>
    <t>Cellular phone</t>
  </si>
  <si>
    <t>Tomas Jansson</t>
  </si>
  <si>
    <t>+46-70 688 7594</t>
  </si>
  <si>
    <t> </t>
  </si>
  <si>
    <t>Has support between 07:00-17:00 Swedish time working days every week and should always be contacted first hand during this time.</t>
  </si>
  <si>
    <t>Vishwajit Kumar</t>
  </si>
  <si>
    <t>+1-404 909 0180</t>
  </si>
  <si>
    <t>Has support between 17:00-23:00 Swedish time working days every week and should always be contacted first hand during this time.</t>
  </si>
  <si>
    <t>Todd McDaniel</t>
  </si>
  <si>
    <t>+1-224 478 9770</t>
  </si>
  <si>
    <t>David Hornemark</t>
  </si>
  <si>
    <t>X</t>
  </si>
  <si>
    <t>+46-73 515 7635</t>
  </si>
  <si>
    <t>Joel Sjöö</t>
  </si>
  <si>
    <t>+46-72 151 4606</t>
  </si>
  <si>
    <t>Tim Hjort</t>
  </si>
  <si>
    <t>+46 70 280 1319</t>
  </si>
  <si>
    <t>Peter Olofsson</t>
  </si>
  <si>
    <t>Manager</t>
  </si>
  <si>
    <t>+46-70 665 9925</t>
  </si>
  <si>
    <t>We switch Monday 7.00 AM to Monday 6.59 AM Swedish time.</t>
  </si>
  <si>
    <t>On Call is only on weekends from 23:00 (5:00 pm EST) Friday to 07:00 (1:00 am EST) Monday Swedish time.</t>
  </si>
  <si>
    <t>3</t>
  </si>
  <si>
    <t>DC-Operators</t>
  </si>
  <si>
    <t>DC-I Series</t>
  </si>
  <si>
    <t>DC-Windows</t>
  </si>
  <si>
    <t>DC-Unix</t>
  </si>
  <si>
    <t>DI&amp;A-Enterprise DBA (Oracle)</t>
  </si>
  <si>
    <t>Network Services</t>
  </si>
  <si>
    <t>WDS-Web Team</t>
  </si>
  <si>
    <t>WDS-Sharepoint</t>
  </si>
  <si>
    <t>SD2 Emmaboda</t>
  </si>
  <si>
    <t>To</t>
  </si>
  <si>
    <r>
      <t>Contact Person</t>
    </r>
    <r>
      <rPr>
        <b/>
        <sz val="10"/>
        <color rgb="FFFFFFFF"/>
        <rFont val="Calibri"/>
        <family val="2"/>
      </rPr>
      <t xml:space="preserve"> Contact Person</t>
    </r>
  </si>
  <si>
    <t>Contact No.</t>
  </si>
  <si>
    <t>+46 70 2463313</t>
  </si>
  <si>
    <t>+46 (0) 471 24 7870</t>
  </si>
  <si>
    <t>+46 (0) 70 880 7138</t>
  </si>
  <si>
    <t>+46 (0) 70 981 7173</t>
  </si>
  <si>
    <t>+46 (0) 70 841 7244</t>
  </si>
  <si>
    <t>IPOC</t>
  </si>
  <si>
    <t xml:space="preserve">Erik Sandell </t>
  </si>
  <si>
    <t>+46 10 207 04 04</t>
  </si>
  <si>
    <t>Mike Berglund</t>
  </si>
  <si>
    <t xml:space="preserve">Andrea Da Dalt </t>
  </si>
  <si>
    <t>Fredrik Nyström</t>
  </si>
  <si>
    <t>+46 70 2448543</t>
  </si>
  <si>
    <t>+46 70 247 68 97</t>
  </si>
  <si>
    <t>+46 70 6006971</t>
  </si>
  <si>
    <t>+46 70 3647524</t>
  </si>
  <si>
    <t>XYLEM ONCALL REPORT</t>
  </si>
  <si>
    <t>list of oncall</t>
  </si>
  <si>
    <t>mob number</t>
  </si>
  <si>
    <t>DI&amp;A-Enterprise DBA (MS SQL) (From Friday 23:00 and ends Monday 07:00)</t>
  </si>
  <si>
    <t>Roy Zhang</t>
  </si>
  <si>
    <t>Eric Li</t>
  </si>
  <si>
    <t>Lee Kelly</t>
  </si>
  <si>
    <t>Kim Johansson</t>
  </si>
  <si>
    <t>Pradeep Srinivasan</t>
  </si>
  <si>
    <t>Frank Olshansky</t>
  </si>
  <si>
    <t>Pavithra Premakumar</t>
  </si>
  <si>
    <t>Josh Wilemon</t>
  </si>
  <si>
    <t>Niklas Karlsson</t>
  </si>
  <si>
    <t>Siamak Izadi</t>
  </si>
  <si>
    <t>Eric Sanders</t>
  </si>
  <si>
    <t>+46 70 8887479</t>
  </si>
  <si>
    <t>+46 70 406349</t>
  </si>
  <si>
    <t>eric sanders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</si>
</sst>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 tint="0.249977111117893"/>
      <name val="Aptos Narrow"/>
      <family val="2"/>
      <scheme val="minor"/>
    </font>
    <font>
      <b/>
      <sz val="8"/>
      <name val="Arial"/>
      <family val="2"/>
    </font>
    <font>
      <sz val="6"/>
      <name val="Arial"/>
      <family val="2"/>
    </font>
    <font>
      <b/>
      <sz val="8"/>
      <color indexed="63"/>
      <name val="Arial"/>
      <family val="2"/>
    </font>
    <font>
      <b/>
      <sz val="8"/>
      <color rgb="FFFFFF00"/>
      <name val="Arial"/>
      <family val="2"/>
    </font>
    <font>
      <b/>
      <sz val="8"/>
      <color rgb="FF000000"/>
      <name val="Arial"/>
      <family val="2"/>
    </font>
    <font>
      <b/>
      <sz val="8"/>
      <color rgb="FFFF0000"/>
      <name val="Arial"/>
      <family val="2"/>
    </font>
    <font>
      <sz val="8"/>
      <color rgb="FFD99694"/>
      <name val="Arial"/>
      <family val="2"/>
    </font>
    <font>
      <sz val="8"/>
      <name val="Arial"/>
      <family val="2"/>
    </font>
    <font>
      <b/>
      <sz val="14"/>
      <color rgb="FFFF0000"/>
      <name val="Arial"/>
      <family val="2"/>
    </font>
    <font>
      <b/>
      <sz val="14"/>
      <name val="Arial"/>
      <family val="2"/>
    </font>
    <font>
      <b/>
      <sz val="8"/>
      <color rgb="FF00B050"/>
      <name val="Arial"/>
      <family val="2"/>
    </font>
    <font>
      <sz val="10"/>
      <color theme="1"/>
      <name val="Times New Roman"/>
      <family val="1"/>
    </font>
    <font>
      <b/>
      <sz val="10"/>
      <color rgb="FFFFFFFF"/>
      <name val="Calibri"/>
      <family val="2"/>
    </font>
    <font>
      <b/>
      <sz val="10"/>
      <color theme="1"/>
      <name val="Calibri"/>
      <family val="2"/>
    </font>
    <font>
      <b/>
      <sz val="10"/>
      <color rgb="FF000000"/>
      <name val="Calibri"/>
      <family val="2"/>
    </font>
    <font>
      <b/>
      <sz val="10"/>
      <color rgb="FF0D0D0D"/>
      <name val="Calibri"/>
      <family val="2"/>
    </font>
    <font>
      <b/>
      <sz val="11"/>
      <color rgb="FF000000"/>
      <name val="Calibri"/>
      <family val="2"/>
    </font>
    <font>
      <b/>
      <sz val="11"/>
      <color rgb="FFFFFFFF"/>
      <name val="Calibri"/>
      <family val="2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00B0F0"/>
      </patternFill>
    </fill>
    <fill>
      <patternFill patternType="solid">
        <fgColor rgb="FF00B0F0"/>
        <bgColor rgb="FF000000"/>
      </patternFill>
    </fill>
    <fill>
      <patternFill patternType="solid">
        <fgColor rgb="FFFFC000"/>
      </patternFill>
    </fill>
    <fill>
      <patternFill patternType="solid">
        <fgColor rgb="FFFFC000"/>
        <bgColor rgb="FF000000"/>
      </patternFill>
    </fill>
    <fill>
      <patternFill patternType="solid">
        <fgColor rgb="FFE875FA"/>
        <bgColor indexed="64"/>
      </patternFill>
    </fill>
    <fill>
      <patternFill patternType="solid">
        <fgColor rgb="FFE875FA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4BD97"/>
        <bgColor rgb="FF00000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4B083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rgb="FF8EAADB"/>
        <bgColor indexed="64"/>
      </patternFill>
    </fill>
    <fill>
      <patternFill patternType="solid">
        <fgColor rgb="FFFFE599"/>
        <bgColor indexed="64"/>
      </patternFill>
    </fill>
    <fill>
      <patternFill patternType="solid">
        <fgColor rgb="FFA8D08D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3BFED"/>
        <bgColor indexed="64"/>
      </patternFill>
    </fill>
    <fill>
      <patternFill patternType="solid">
        <fgColor rgb="FFF9EBB9"/>
        <bgColor indexed="64"/>
      </patternFill>
    </fill>
    <fill>
      <patternFill patternType="solid">
        <fgColor rgb="FFF7CAAC"/>
        <bgColor indexed="64"/>
      </patternFill>
    </fill>
    <fill>
      <patternFill patternType="solid">
        <fgColor rgb="FFBDC8E7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749992370372631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8">
    <xf numFmtId="0" fontId="0" fillId="0" borderId="0" xfId="0"/>
    <xf numFmtId="22" fontId="0" fillId="0" borderId="0" xfId="0" applyNumberFormat="1"/>
    <xf numFmtId="49" fontId="0" fillId="0" borderId="0" xfId="0" applyNumberFormat="1"/>
    <xf numFmtId="14" fontId="0" fillId="0" borderId="0" xfId="0" applyNumberFormat="1"/>
    <xf numFmtId="0" fontId="18" fillId="0" borderId="0" xfId="0" applyFont="1"/>
    <xf numFmtId="0" fontId="19" fillId="0" borderId="0" xfId="0" applyFont="1"/>
    <xf numFmtId="0" fontId="19" fillId="0" borderId="0" xfId="0" applyFont="1" applyAlignment="1">
      <alignment horizontal="right"/>
    </xf>
    <xf numFmtId="16" fontId="20" fillId="0" borderId="0" xfId="0" applyNumberFormat="1" applyFont="1" applyAlignment="1">
      <alignment horizontal="center"/>
    </xf>
    <xf numFmtId="0" fontId="21" fillId="33" borderId="0" xfId="0" applyFont="1" applyFill="1" applyAlignment="1">
      <alignment horizontal="center"/>
    </xf>
    <xf numFmtId="0" fontId="19" fillId="34" borderId="0" xfId="0" applyFont="1" applyFill="1" applyAlignment="1">
      <alignment horizontal="center"/>
    </xf>
    <xf numFmtId="0" fontId="19" fillId="34" borderId="10" xfId="0" applyFont="1" applyFill="1" applyBorder="1" applyAlignment="1">
      <alignment horizontal="center"/>
    </xf>
    <xf numFmtId="0" fontId="19" fillId="34" borderId="11" xfId="0" applyFont="1" applyFill="1" applyBorder="1" applyAlignment="1">
      <alignment horizontal="center"/>
    </xf>
    <xf numFmtId="0" fontId="22" fillId="35" borderId="12" xfId="0" applyFont="1" applyFill="1" applyBorder="1"/>
    <xf numFmtId="0" fontId="22" fillId="35" borderId="13" xfId="0" applyFont="1" applyFill="1" applyBorder="1"/>
    <xf numFmtId="0" fontId="22" fillId="35" borderId="0" xfId="0" applyFont="1" applyFill="1" applyAlignment="1">
      <alignment horizontal="center"/>
    </xf>
    <xf numFmtId="0" fontId="23" fillId="36" borderId="0" xfId="0" applyFont="1" applyFill="1"/>
    <xf numFmtId="0" fontId="19" fillId="37" borderId="0" xfId="0" applyFont="1" applyFill="1"/>
    <xf numFmtId="0" fontId="19" fillId="0" borderId="0" xfId="0" applyFont="1" applyAlignment="1">
      <alignment horizontal="center"/>
    </xf>
    <xf numFmtId="49" fontId="21" fillId="0" borderId="0" xfId="0" applyNumberFormat="1" applyFont="1" applyAlignment="1">
      <alignment horizontal="right"/>
    </xf>
    <xf numFmtId="0" fontId="19" fillId="0" borderId="11" xfId="0" applyFont="1" applyBorder="1"/>
    <xf numFmtId="0" fontId="24" fillId="0" borderId="14" xfId="0" applyFont="1" applyBorder="1" applyAlignment="1">
      <alignment horizontal="center"/>
    </xf>
    <xf numFmtId="0" fontId="19" fillId="0" borderId="10" xfId="0" applyFont="1" applyBorder="1"/>
    <xf numFmtId="0" fontId="24" fillId="0" borderId="10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24" fillId="0" borderId="15" xfId="0" applyFont="1" applyBorder="1" applyAlignment="1">
      <alignment horizontal="center"/>
    </xf>
    <xf numFmtId="0" fontId="19" fillId="38" borderId="10" xfId="0" applyFont="1" applyFill="1" applyBorder="1"/>
    <xf numFmtId="0" fontId="24" fillId="0" borderId="11" xfId="0" applyFont="1" applyBorder="1" applyAlignment="1">
      <alignment horizontal="center"/>
    </xf>
    <xf numFmtId="0" fontId="19" fillId="0" borderId="0" xfId="0" applyFont="1" applyAlignment="1">
      <alignment vertical="center"/>
    </xf>
    <xf numFmtId="0" fontId="19" fillId="39" borderId="0" xfId="0" applyFont="1" applyFill="1"/>
    <xf numFmtId="0" fontId="19" fillId="40" borderId="16" xfId="0" applyFont="1" applyFill="1" applyBorder="1"/>
    <xf numFmtId="0" fontId="19" fillId="0" borderId="17" xfId="0" applyFont="1" applyBorder="1"/>
    <xf numFmtId="0" fontId="19" fillId="0" borderId="15" xfId="0" applyFont="1" applyBorder="1"/>
    <xf numFmtId="0" fontId="24" fillId="0" borderId="18" xfId="0" applyFont="1" applyBorder="1" applyAlignment="1">
      <alignment horizontal="center"/>
    </xf>
    <xf numFmtId="0" fontId="19" fillId="0" borderId="19" xfId="0" applyFont="1" applyBorder="1"/>
    <xf numFmtId="0" fontId="19" fillId="0" borderId="16" xfId="0" applyFont="1" applyBorder="1"/>
    <xf numFmtId="0" fontId="19" fillId="41" borderId="0" xfId="0" applyFont="1" applyFill="1"/>
    <xf numFmtId="0" fontId="19" fillId="42" borderId="20" xfId="0" applyFont="1" applyFill="1" applyBorder="1"/>
    <xf numFmtId="0" fontId="19" fillId="0" borderId="10" xfId="0" applyFont="1" applyBorder="1" applyAlignment="1">
      <alignment horizontal="center"/>
    </xf>
    <xf numFmtId="0" fontId="19" fillId="0" borderId="14" xfId="0" applyFont="1" applyBorder="1"/>
    <xf numFmtId="0" fontId="19" fillId="42" borderId="19" xfId="0" applyFont="1" applyFill="1" applyBorder="1"/>
    <xf numFmtId="0" fontId="19" fillId="0" borderId="19" xfId="0" applyFont="1" applyBorder="1" applyAlignment="1">
      <alignment horizontal="center"/>
    </xf>
    <xf numFmtId="0" fontId="19" fillId="43" borderId="0" xfId="0" applyFont="1" applyFill="1"/>
    <xf numFmtId="0" fontId="19" fillId="44" borderId="21" xfId="0" applyFont="1" applyFill="1" applyBorder="1"/>
    <xf numFmtId="0" fontId="19" fillId="0" borderId="21" xfId="0" applyFont="1" applyBorder="1"/>
    <xf numFmtId="0" fontId="19" fillId="45" borderId="0" xfId="0" applyFont="1" applyFill="1"/>
    <xf numFmtId="0" fontId="19" fillId="46" borderId="0" xfId="0" applyFont="1" applyFill="1"/>
    <xf numFmtId="0" fontId="19" fillId="46" borderId="11" xfId="0" applyFont="1" applyFill="1" applyBorder="1"/>
    <xf numFmtId="0" fontId="19" fillId="47" borderId="19" xfId="0" applyFont="1" applyFill="1" applyBorder="1"/>
    <xf numFmtId="0" fontId="25" fillId="0" borderId="0" xfId="0" applyFont="1"/>
    <xf numFmtId="0" fontId="26" fillId="0" borderId="0" xfId="0" applyFont="1"/>
    <xf numFmtId="0" fontId="26" fillId="0" borderId="0" xfId="0" applyFont="1" applyAlignment="1">
      <alignment horizontal="right"/>
    </xf>
    <xf numFmtId="0" fontId="27" fillId="0" borderId="0" xfId="0" applyFont="1"/>
    <xf numFmtId="0" fontId="28" fillId="0" borderId="0" xfId="0" applyFont="1"/>
    <xf numFmtId="0" fontId="29" fillId="0" borderId="0" xfId="0" applyFont="1"/>
    <xf numFmtId="0" fontId="0" fillId="0" borderId="23" xfId="0" applyBorder="1"/>
    <xf numFmtId="0" fontId="0" fillId="48" borderId="23" xfId="0" applyFill="1" applyBorder="1"/>
    <xf numFmtId="0" fontId="34" fillId="0" borderId="25" xfId="0" applyFont="1" applyBorder="1" applyAlignment="1">
      <alignment horizontal="center" vertical="center" wrapText="1"/>
    </xf>
    <xf numFmtId="0" fontId="33" fillId="0" borderId="26" xfId="0" applyFont="1" applyBorder="1" applyAlignment="1">
      <alignment vertical="center" wrapText="1"/>
    </xf>
    <xf numFmtId="3" fontId="0" fillId="0" borderId="0" xfId="0" applyNumberFormat="1"/>
    <xf numFmtId="49" fontId="0" fillId="0" borderId="22" xfId="0" applyNumberFormat="1" applyBorder="1"/>
    <xf numFmtId="1" fontId="0" fillId="0" borderId="0" xfId="0" applyNumberFormat="1"/>
    <xf numFmtId="0" fontId="35" fillId="55" borderId="24" xfId="0" applyFont="1" applyFill="1" applyBorder="1" applyAlignment="1">
      <alignment horizontal="center" vertical="center" wrapText="1"/>
    </xf>
    <xf numFmtId="0" fontId="35" fillId="55" borderId="26" xfId="0" applyFont="1" applyFill="1" applyBorder="1" applyAlignment="1">
      <alignment horizontal="center" vertical="center" wrapText="1"/>
    </xf>
    <xf numFmtId="0" fontId="35" fillId="56" borderId="24" xfId="0" applyFont="1" applyFill="1" applyBorder="1" applyAlignment="1">
      <alignment horizontal="center" vertical="center" wrapText="1"/>
    </xf>
    <xf numFmtId="0" fontId="35" fillId="56" borderId="26" xfId="0" applyFont="1" applyFill="1" applyBorder="1" applyAlignment="1">
      <alignment horizontal="center" vertical="center" wrapText="1"/>
    </xf>
    <xf numFmtId="0" fontId="35" fillId="57" borderId="24" xfId="0" applyFont="1" applyFill="1" applyBorder="1" applyAlignment="1">
      <alignment horizontal="center" vertical="center" wrapText="1"/>
    </xf>
    <xf numFmtId="0" fontId="35" fillId="57" borderId="26" xfId="0" applyFont="1" applyFill="1" applyBorder="1" applyAlignment="1">
      <alignment horizontal="center" vertical="center" wrapText="1"/>
    </xf>
    <xf numFmtId="0" fontId="16" fillId="60" borderId="27" xfId="0" applyFont="1" applyFill="1" applyBorder="1" applyAlignment="1">
      <alignment horizontal="center"/>
    </xf>
    <xf numFmtId="0" fontId="0" fillId="60" borderId="27" xfId="0" applyFill="1" applyBorder="1" applyAlignment="1">
      <alignment horizontal="center"/>
    </xf>
    <xf numFmtId="0" fontId="35" fillId="56" borderId="25" xfId="0" applyFont="1" applyFill="1" applyBorder="1" applyAlignment="1">
      <alignment horizontal="center" vertical="center" wrapText="1"/>
    </xf>
    <xf numFmtId="0" fontId="36" fillId="58" borderId="24" xfId="0" applyFont="1" applyFill="1" applyBorder="1" applyAlignment="1">
      <alignment horizontal="center" vertical="center" wrapText="1"/>
    </xf>
    <xf numFmtId="0" fontId="36" fillId="58" borderId="25" xfId="0" applyFont="1" applyFill="1" applyBorder="1" applyAlignment="1">
      <alignment horizontal="center" vertical="center" wrapText="1"/>
    </xf>
    <xf numFmtId="0" fontId="36" fillId="58" borderId="26" xfId="0" applyFont="1" applyFill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31" fillId="0" borderId="26" xfId="0" applyFont="1" applyBorder="1" applyAlignment="1">
      <alignment horizontal="center" vertical="center" wrapText="1"/>
    </xf>
    <xf numFmtId="0" fontId="35" fillId="49" borderId="24" xfId="0" applyFont="1" applyFill="1" applyBorder="1" applyAlignment="1">
      <alignment horizontal="center" vertical="center" wrapText="1"/>
    </xf>
    <xf numFmtId="0" fontId="35" fillId="49" borderId="26" xfId="0" applyFont="1" applyFill="1" applyBorder="1" applyAlignment="1">
      <alignment horizontal="center" vertical="center" wrapText="1"/>
    </xf>
    <xf numFmtId="0" fontId="35" fillId="51" borderId="24" xfId="0" applyFont="1" applyFill="1" applyBorder="1" applyAlignment="1">
      <alignment horizontal="center" vertical="center" wrapText="1"/>
    </xf>
    <xf numFmtId="0" fontId="35" fillId="51" borderId="26" xfId="0" applyFont="1" applyFill="1" applyBorder="1" applyAlignment="1">
      <alignment horizontal="center" vertical="center" wrapText="1"/>
    </xf>
    <xf numFmtId="0" fontId="30" fillId="53" borderId="24" xfId="0" applyFont="1" applyFill="1" applyBorder="1" applyAlignment="1">
      <alignment vertical="top" wrapText="1"/>
    </xf>
    <xf numFmtId="0" fontId="30" fillId="53" borderId="26" xfId="0" applyFont="1" applyFill="1" applyBorder="1" applyAlignment="1">
      <alignment vertical="top" wrapText="1"/>
    </xf>
    <xf numFmtId="0" fontId="31" fillId="0" borderId="24" xfId="0" applyFont="1" applyBorder="1" applyAlignment="1">
      <alignment vertical="center" wrapText="1"/>
    </xf>
    <xf numFmtId="0" fontId="31" fillId="0" borderId="25" xfId="0" applyFont="1" applyBorder="1" applyAlignment="1">
      <alignment vertical="center" wrapText="1"/>
    </xf>
    <xf numFmtId="0" fontId="31" fillId="0" borderId="26" xfId="0" applyFont="1" applyBorder="1" applyAlignment="1">
      <alignment vertical="center" wrapText="1"/>
    </xf>
    <xf numFmtId="0" fontId="32" fillId="0" borderId="24" xfId="0" applyFont="1" applyBorder="1" applyAlignment="1">
      <alignment horizontal="center" vertical="center" wrapText="1"/>
    </xf>
    <xf numFmtId="0" fontId="32" fillId="0" borderId="26" xfId="0" applyFont="1" applyBorder="1" applyAlignment="1">
      <alignment horizontal="center" vertical="center" wrapText="1"/>
    </xf>
    <xf numFmtId="0" fontId="32" fillId="0" borderId="25" xfId="0" applyFont="1" applyBorder="1" applyAlignment="1">
      <alignment horizontal="center" vertical="center" wrapText="1"/>
    </xf>
    <xf numFmtId="0" fontId="33" fillId="49" borderId="24" xfId="0" applyFont="1" applyFill="1" applyBorder="1" applyAlignment="1">
      <alignment horizontal="center" vertical="center" wrapText="1"/>
    </xf>
    <xf numFmtId="0" fontId="33" fillId="49" borderId="25" xfId="0" applyFont="1" applyFill="1" applyBorder="1" applyAlignment="1">
      <alignment horizontal="center" vertical="center" wrapText="1"/>
    </xf>
    <xf numFmtId="0" fontId="33" fillId="49" borderId="26" xfId="0" applyFont="1" applyFill="1" applyBorder="1" applyAlignment="1">
      <alignment horizontal="center" vertical="center" wrapText="1"/>
    </xf>
    <xf numFmtId="0" fontId="33" fillId="50" borderId="24" xfId="0" applyFont="1" applyFill="1" applyBorder="1" applyAlignment="1">
      <alignment horizontal="center" vertical="center" wrapText="1"/>
    </xf>
    <xf numFmtId="0" fontId="33" fillId="50" borderId="25" xfId="0" applyFont="1" applyFill="1" applyBorder="1" applyAlignment="1">
      <alignment horizontal="center" vertical="center" wrapText="1"/>
    </xf>
    <xf numFmtId="0" fontId="33" fillId="50" borderId="26" xfId="0" applyFont="1" applyFill="1" applyBorder="1" applyAlignment="1">
      <alignment horizontal="center" vertical="center" wrapText="1"/>
    </xf>
    <xf numFmtId="0" fontId="33" fillId="51" borderId="24" xfId="0" applyFont="1" applyFill="1" applyBorder="1" applyAlignment="1">
      <alignment horizontal="center" vertical="center" wrapText="1"/>
    </xf>
    <xf numFmtId="0" fontId="33" fillId="51" borderId="25" xfId="0" applyFont="1" applyFill="1" applyBorder="1" applyAlignment="1">
      <alignment horizontal="center" vertical="center" wrapText="1"/>
    </xf>
    <xf numFmtId="0" fontId="33" fillId="51" borderId="26" xfId="0" applyFont="1" applyFill="1" applyBorder="1" applyAlignment="1">
      <alignment horizontal="center" vertical="center" wrapText="1"/>
    </xf>
    <xf numFmtId="0" fontId="35" fillId="49" borderId="25" xfId="0" applyFont="1" applyFill="1" applyBorder="1" applyAlignment="1">
      <alignment horizontal="center" vertical="center" wrapText="1"/>
    </xf>
    <xf numFmtId="0" fontId="35" fillId="59" borderId="24" xfId="0" applyFont="1" applyFill="1" applyBorder="1" applyAlignment="1">
      <alignment horizontal="center" vertical="center" wrapText="1"/>
    </xf>
    <xf numFmtId="0" fontId="35" fillId="59" borderId="25" xfId="0" applyFont="1" applyFill="1" applyBorder="1" applyAlignment="1">
      <alignment horizontal="center" vertical="center" wrapText="1"/>
    </xf>
    <xf numFmtId="0" fontId="35" fillId="59" borderId="26" xfId="0" applyFont="1" applyFill="1" applyBorder="1" applyAlignment="1">
      <alignment horizontal="center" vertical="center" wrapText="1"/>
    </xf>
    <xf numFmtId="0" fontId="35" fillId="51" borderId="25" xfId="0" applyFont="1" applyFill="1" applyBorder="1" applyAlignment="1">
      <alignment horizontal="center" vertical="center" wrapText="1"/>
    </xf>
    <xf numFmtId="0" fontId="33" fillId="58" borderId="24" xfId="0" applyFont="1" applyFill="1" applyBorder="1" applyAlignment="1">
      <alignment horizontal="center" vertical="center" wrapText="1"/>
    </xf>
    <xf numFmtId="0" fontId="33" fillId="58" borderId="25" xfId="0" applyFont="1" applyFill="1" applyBorder="1" applyAlignment="1">
      <alignment horizontal="center" vertical="center" wrapText="1"/>
    </xf>
    <xf numFmtId="0" fontId="33" fillId="58" borderId="26" xfId="0" applyFont="1" applyFill="1" applyBorder="1" applyAlignment="1">
      <alignment horizontal="center" vertical="center" wrapText="1"/>
    </xf>
    <xf numFmtId="0" fontId="33" fillId="56" borderId="24" xfId="0" applyFont="1" applyFill="1" applyBorder="1" applyAlignment="1">
      <alignment horizontal="center" vertical="center" wrapText="1"/>
    </xf>
    <xf numFmtId="0" fontId="33" fillId="56" borderId="25" xfId="0" applyFont="1" applyFill="1" applyBorder="1" applyAlignment="1">
      <alignment horizontal="center" vertical="center" wrapText="1"/>
    </xf>
    <xf numFmtId="0" fontId="33" fillId="56" borderId="26" xfId="0" applyFont="1" applyFill="1" applyBorder="1" applyAlignment="1">
      <alignment horizontal="center" vertical="center" wrapText="1"/>
    </xf>
    <xf numFmtId="0" fontId="35" fillId="55" borderId="25" xfId="0" applyFont="1" applyFill="1" applyBorder="1" applyAlignment="1">
      <alignment horizontal="center" vertical="center" wrapText="1"/>
    </xf>
    <xf numFmtId="0" fontId="35" fillId="57" borderId="25" xfId="0" applyFont="1" applyFill="1" applyBorder="1" applyAlignment="1">
      <alignment horizontal="center" vertical="center" wrapText="1"/>
    </xf>
    <xf numFmtId="0" fontId="33" fillId="52" borderId="24" xfId="0" applyFont="1" applyFill="1" applyBorder="1" applyAlignment="1">
      <alignment horizontal="center" vertical="center" wrapText="1"/>
    </xf>
    <xf numFmtId="0" fontId="33" fillId="52" borderId="25" xfId="0" applyFont="1" applyFill="1" applyBorder="1" applyAlignment="1">
      <alignment horizontal="center" vertical="center" wrapText="1"/>
    </xf>
    <xf numFmtId="0" fontId="33" fillId="52" borderId="26" xfId="0" applyFont="1" applyFill="1" applyBorder="1" applyAlignment="1">
      <alignment horizontal="center" vertical="center" wrapText="1"/>
    </xf>
    <xf numFmtId="0" fontId="33" fillId="53" borderId="24" xfId="0" applyFont="1" applyFill="1" applyBorder="1" applyAlignment="1">
      <alignment horizontal="center" vertical="center" wrapText="1"/>
    </xf>
    <xf numFmtId="0" fontId="33" fillId="53" borderId="25" xfId="0" applyFont="1" applyFill="1" applyBorder="1" applyAlignment="1">
      <alignment horizontal="center" vertical="center" wrapText="1"/>
    </xf>
    <xf numFmtId="0" fontId="33" fillId="53" borderId="26" xfId="0" applyFont="1" applyFill="1" applyBorder="1" applyAlignment="1">
      <alignment horizontal="center" vertical="center" wrapText="1"/>
    </xf>
    <xf numFmtId="0" fontId="33" fillId="54" borderId="24" xfId="0" applyFont="1" applyFill="1" applyBorder="1" applyAlignment="1">
      <alignment horizontal="center" vertical="center" wrapText="1"/>
    </xf>
    <xf numFmtId="0" fontId="33" fillId="54" borderId="25" xfId="0" applyFont="1" applyFill="1" applyBorder="1" applyAlignment="1">
      <alignment horizontal="center" vertical="center" wrapText="1"/>
    </xf>
    <xf numFmtId="0" fontId="33" fillId="54" borderId="26" xfId="0" applyFont="1" applyFill="1" applyBorder="1" applyAlignment="1">
      <alignment horizontal="center" vertical="center" wrapText="1"/>
    </xf>
    <xf numFmtId="0" fontId="33" fillId="55" borderId="24" xfId="0" applyFont="1" applyFill="1" applyBorder="1" applyAlignment="1">
      <alignment horizontal="center" vertical="center" wrapText="1"/>
    </xf>
    <xf numFmtId="0" fontId="33" fillId="55" borderId="25" xfId="0" applyFont="1" applyFill="1" applyBorder="1" applyAlignment="1">
      <alignment horizontal="center" vertical="center" wrapText="1"/>
    </xf>
    <xf numFmtId="0" fontId="33" fillId="55" borderId="26" xfId="0" applyFont="1" applyFill="1" applyBorder="1" applyAlignment="1">
      <alignment horizontal="center" vertical="center" wrapText="1"/>
    </xf>
    <xf numFmtId="0" fontId="33" fillId="57" borderId="24" xfId="0" applyFont="1" applyFill="1" applyBorder="1" applyAlignment="1">
      <alignment horizontal="center" vertical="center" wrapText="1"/>
    </xf>
    <xf numFmtId="0" fontId="33" fillId="57" borderId="25" xfId="0" applyFont="1" applyFill="1" applyBorder="1" applyAlignment="1">
      <alignment horizontal="center" vertical="center" wrapText="1"/>
    </xf>
    <xf numFmtId="0" fontId="33" fillId="57" borderId="26" xfId="0" applyFont="1" applyFill="1" applyBorder="1" applyAlignment="1">
      <alignment horizontal="center" vertical="center" wrapText="1"/>
    </xf>
    <xf numFmtId="0" fontId="35" fillId="52" borderId="24" xfId="0" applyFont="1" applyFill="1" applyBorder="1" applyAlignment="1">
      <alignment horizontal="center" vertical="center" wrapText="1"/>
    </xf>
    <xf numFmtId="0" fontId="35" fillId="52" borderId="25" xfId="0" applyFont="1" applyFill="1" applyBorder="1" applyAlignment="1">
      <alignment horizontal="center" vertical="center" wrapText="1"/>
    </xf>
    <xf numFmtId="0" fontId="35" fillId="52" borderId="26" xfId="0" applyFont="1" applyFill="1" applyBorder="1" applyAlignment="1">
      <alignment horizontal="center" vertical="center" wrapText="1"/>
    </xf>
    <xf numFmtId="0" fontId="30" fillId="53" borderId="25" xfId="0" applyFont="1" applyFill="1" applyBorder="1" applyAlignment="1">
      <alignment vertical="top" wrapText="1"/>
    </xf>
    <xf numFmtId="1" fontId="33" fillId="54" borderId="24" xfId="0" applyNumberFormat="1" applyFont="1" applyFill="1" applyBorder="1" applyAlignment="1">
      <alignment horizontal="center" vertical="center" wrapText="1"/>
    </xf>
    <xf numFmtId="1" fontId="33" fillId="54" borderId="25" xfId="0" applyNumberFormat="1" applyFont="1" applyFill="1" applyBorder="1" applyAlignment="1">
      <alignment horizontal="center" vertical="center" wrapText="1"/>
    </xf>
    <xf numFmtId="1" fontId="35" fillId="55" borderId="24" xfId="0" applyNumberFormat="1" applyFont="1" applyFill="1" applyBorder="1" applyAlignment="1">
      <alignment horizontal="center" vertical="center" wrapText="1"/>
    </xf>
    <xf numFmtId="1" fontId="35" fillId="55" borderId="26" xfId="0" applyNumberFormat="1" applyFont="1" applyFill="1" applyBorder="1" applyAlignment="1">
      <alignment horizontal="center" vertical="center" wrapText="1"/>
    </xf>
    <xf numFmtId="1" fontId="35" fillId="49" borderId="24" xfId="0" applyNumberFormat="1" applyFont="1" applyFill="1" applyBorder="1" applyAlignment="1">
      <alignment horizontal="center" vertical="center" wrapText="1"/>
    </xf>
    <xf numFmtId="1" fontId="35" fillId="49" borderId="26" xfId="0" applyNumberFormat="1" applyFont="1" applyFill="1" applyBorder="1" applyAlignment="1">
      <alignment horizontal="center" vertical="center" wrapText="1"/>
    </xf>
    <xf numFmtId="1" fontId="35" fillId="50" borderId="24" xfId="0" applyNumberFormat="1" applyFont="1" applyFill="1" applyBorder="1" applyAlignment="1">
      <alignment horizontal="center" vertical="center" wrapText="1"/>
    </xf>
    <xf numFmtId="1" fontId="35" fillId="50" borderId="26" xfId="0" applyNumberFormat="1" applyFont="1" applyFill="1" applyBorder="1" applyAlignment="1">
      <alignment horizontal="center" vertical="center" wrapText="1"/>
    </xf>
    <xf numFmtId="1" fontId="35" fillId="51" borderId="24" xfId="0" applyNumberFormat="1" applyFont="1" applyFill="1" applyBorder="1" applyAlignment="1">
      <alignment horizontal="center" vertical="center" wrapText="1"/>
    </xf>
    <xf numFmtId="1" fontId="35" fillId="52" borderId="24" xfId="0" applyNumberFormat="1" applyFont="1" applyFill="1" applyBorder="1" applyAlignment="1">
      <alignment horizontal="center" vertical="center" wrapText="1"/>
    </xf>
    <xf numFmtId="1" fontId="30" fillId="53" borderId="24" xfId="0" applyNumberFormat="1" applyFont="1" applyFill="1" applyBorder="1" applyAlignment="1">
      <alignment vertical="top" wrapText="1"/>
    </xf>
    <xf numFmtId="1" fontId="35" fillId="56" borderId="24" xfId="0" applyNumberFormat="1" applyFont="1" applyFill="1" applyBorder="1" applyAlignment="1">
      <alignment horizontal="center" vertical="center" wrapText="1"/>
    </xf>
    <xf numFmtId="1" fontId="35" fillId="57" borderId="24" xfId="0" applyNumberFormat="1" applyFont="1" applyFill="1" applyBorder="1" applyAlignment="1">
      <alignment horizontal="center" vertical="center" wrapText="1"/>
    </xf>
    <xf numFmtId="1" fontId="35" fillId="58" borderId="24" xfId="0" applyNumberFormat="1" applyFont="1" applyFill="1" applyBorder="1" applyAlignment="1">
      <alignment horizontal="center" vertical="center" wrapText="1"/>
    </xf>
    <xf numFmtId="1" fontId="35" fillId="51" borderId="26" xfId="0" applyNumberFormat="1" applyFont="1" applyFill="1" applyBorder="1" applyAlignment="1">
      <alignment horizontal="center" vertical="center" wrapText="1"/>
    </xf>
    <xf numFmtId="1" fontId="35" fillId="52" borderId="26" xfId="0" applyNumberFormat="1" applyFont="1" applyFill="1" applyBorder="1" applyAlignment="1">
      <alignment horizontal="center" vertical="center" wrapText="1"/>
    </xf>
    <xf numFmtId="1" fontId="30" fillId="53" borderId="26" xfId="0" applyNumberFormat="1" applyFont="1" applyFill="1" applyBorder="1" applyAlignment="1">
      <alignment vertical="top" wrapText="1"/>
    </xf>
    <xf numFmtId="1" fontId="35" fillId="56" borderId="26" xfId="0" applyNumberFormat="1" applyFont="1" applyFill="1" applyBorder="1" applyAlignment="1">
      <alignment horizontal="center" vertical="center" wrapText="1"/>
    </xf>
    <xf numFmtId="1" fontId="35" fillId="57" borderId="26" xfId="0" applyNumberFormat="1" applyFont="1" applyFill="1" applyBorder="1" applyAlignment="1">
      <alignment horizontal="center" vertical="center" wrapText="1"/>
    </xf>
    <xf numFmtId="1" fontId="35" fillId="58" borderId="26" xfId="0" applyNumberFormat="1" applyFont="1" applyFill="1" applyBorder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6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27" formatCode="yyyy/mm/dd\ hh:mm"/>
    </dxf>
    <dxf>
      <numFmt numFmtId="27" formatCode="yyyy/mm/dd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" backgroundRefresh="0" connectionId="1" xr16:uid="{F1EF75F6-9600-4752-98E3-7EBA36C91017}" autoFormatId="16" applyNumberFormats="0" applyBorderFormats="0" applyFontFormats="0" applyPatternFormats="0" applyAlignmentFormats="0" applyWidthHeightFormats="0">
  <queryTableRefresh nextId="9">
    <queryTableFields count="6">
      <queryTableField id="2" name="Start Time" tableColumnId="1"/>
      <queryTableField id="3" name="End Time" tableColumnId="2"/>
      <queryTableField id="1" name="Title" tableColumnId="3"/>
      <queryTableField id="4" name="Recurrence" tableColumnId="4"/>
      <queryTableField id="6" name="Item Type" tableColumnId="5"/>
      <queryTableField id="5" name="Path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7B9D68BA-79DD-4992-AF35-D4F24E6278E4}" autoFormatId="16" applyNumberFormats="0" applyBorderFormats="0" applyFontFormats="0" applyPatternFormats="0" applyAlignmentFormats="0" applyWidthHeightFormats="0">
  <queryTableRefresh nextId="18">
    <queryTableFields count="1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F5C8541-37F2-4146-9D50-210131551A44}" autoFormatId="16" applyNumberFormats="0" applyBorderFormats="0" applyFontFormats="0" applyPatternFormats="0" applyAlignmentFormats="0" applyWidthHeightFormats="0">
  <queryTableRefresh nextId="54">
    <queryTableFields count="5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  <queryTableField id="32" name="Column32" tableColumnId="32"/>
      <queryTableField id="33" name="Column33" tableColumnId="33"/>
      <queryTableField id="34" name="Column34" tableColumnId="34"/>
      <queryTableField id="35" name="Column35" tableColumnId="35"/>
      <queryTableField id="36" name="Column36" tableColumnId="36"/>
      <queryTableField id="37" name="Column37" tableColumnId="37"/>
      <queryTableField id="38" name="Column38" tableColumnId="38"/>
      <queryTableField id="39" name="Column39" tableColumnId="39"/>
      <queryTableField id="40" name="Column40" tableColumnId="40"/>
      <queryTableField id="41" name="Column41" tableColumnId="41"/>
      <queryTableField id="42" name="Column42" tableColumnId="42"/>
      <queryTableField id="43" name="Column43" tableColumnId="43"/>
      <queryTableField id="44" name="Column44" tableColumnId="44"/>
      <queryTableField id="45" name="Column45" tableColumnId="45"/>
      <queryTableField id="46" name="Column46" tableColumnId="46"/>
      <queryTableField id="47" name="Column47" tableColumnId="47"/>
      <queryTableField id="48" name="Column48" tableColumnId="48"/>
      <queryTableField id="49" name="Column49" tableColumnId="49"/>
      <queryTableField id="50" name="Column50" tableColumnId="50"/>
      <queryTableField id="51" name="Column51" tableColumnId="51"/>
      <queryTableField id="52" name="Column52" tableColumnId="52"/>
      <queryTableField id="53" name="Column53" tableColumnId="5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65D643E4-4656-483C-8126-BF2E004CF94B}" autoFormatId="16" applyNumberFormats="0" applyBorderFormats="0" applyFontFormats="0" applyPatternFormats="0" applyAlignmentFormats="0" applyWidthHeightFormats="0">
  <queryTableRefresh nextId="21">
    <queryTableFields count="2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2D7346-A392-409C-B8A7-7327AEFB8249}" name="Table_query" displayName="Table_query" ref="A1:F10" tableType="queryTable" totalsRowShown="0">
  <autoFilter ref="A1:F10" xr:uid="{DE2D7346-A392-409C-B8A7-7327AEFB8249}"/>
  <tableColumns count="6">
    <tableColumn id="1" xr3:uid="{49FB3C7E-35F7-471A-98A3-9C00E70ED53B}" uniqueName="EventDate" name="Start Time" queryTableFieldId="2" dataDxfId="45"/>
    <tableColumn id="2" xr3:uid="{8F78B6E1-E86A-4B2C-AF76-DD53B54EA066}" uniqueName="EndDate" name="End Time" queryTableFieldId="3" dataDxfId="44"/>
    <tableColumn id="3" xr3:uid="{6615F858-FF52-4BF9-B40B-063713288E50}" uniqueName="Title" name="Title" queryTableFieldId="1" dataDxfId="43"/>
    <tableColumn id="4" xr3:uid="{8F90BC0A-D562-4D7D-951A-B8F9BA3DD4AC}" uniqueName="fRecurrence" name="Recurrence" queryTableFieldId="4"/>
    <tableColumn id="5" xr3:uid="{0F80138B-B005-45DC-9C72-C9A4A558F3F2}" uniqueName="FSObjType" name="Item Type" queryTableFieldId="6" dataDxfId="42"/>
    <tableColumn id="6" xr3:uid="{675071E0-C41A-40E8-9BFF-EF1E9E8BB84B}" uniqueName="FileDirRef" name="Path" queryTableFieldId="5" dataDxfId="4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2C74653-709A-40A7-A5C6-124E31F20BD5}" name="Sheet1" displayName="Sheet1" ref="A1:Q38" tableType="queryTable" totalsRowCount="1" headerRowDxfId="40" dataDxfId="39">
  <autoFilter ref="A1:Q37" xr:uid="{42C74653-709A-40A7-A5C6-124E31F20BD5}"/>
  <tableColumns count="17">
    <tableColumn id="1" xr3:uid="{93A76E8B-8A54-404E-B8E6-55DB0E6A4218}" uniqueName="1" name="Column1" totalsRowLabel="3" queryTableFieldId="1" dataDxfId="38"/>
    <tableColumn id="2" xr3:uid="{84799053-AC85-48F1-8B34-87CCD35F2724}" uniqueName="2" name="Column2" queryTableFieldId="2" dataDxfId="37"/>
    <tableColumn id="3" xr3:uid="{E443075B-C058-4CB0-A961-456F0D9C3ED9}" uniqueName="3" name="Column3" queryTableFieldId="3" dataDxfId="36"/>
    <tableColumn id="4" xr3:uid="{ACE3686A-7206-48A2-96EA-B9FBEF38CC00}" uniqueName="4" name="Column4" queryTableFieldId="4" dataDxfId="35"/>
    <tableColumn id="5" xr3:uid="{B89B7F0B-8FD8-4EE7-ADD6-5559A1848429}" uniqueName="5" name="Column5" queryTableFieldId="5" dataDxfId="34"/>
    <tableColumn id="6" xr3:uid="{EEA41353-648B-45A1-91DC-6D650109D410}" uniqueName="6" name="Column6" queryTableFieldId="6" dataDxfId="33"/>
    <tableColumn id="7" xr3:uid="{E9A7933D-FCA2-49FF-8E4A-BB8D86327A08}" uniqueName="7" name="Column7" queryTableFieldId="7" dataDxfId="32"/>
    <tableColumn id="8" xr3:uid="{98D95326-8BDA-4B74-BC17-B2652AA47ED0}" uniqueName="8" name="Column8" queryTableFieldId="8" dataDxfId="31"/>
    <tableColumn id="9" xr3:uid="{0F323F3B-EE29-4893-92BA-14BFC246C048}" uniqueName="9" name="Column9" queryTableFieldId="9" dataDxfId="30"/>
    <tableColumn id="10" xr3:uid="{8555CECC-3556-4614-B394-4FE29E924551}" uniqueName="10" name="Column10" queryTableFieldId="10" dataDxfId="29"/>
    <tableColumn id="11" xr3:uid="{06B151A0-9451-43B4-B2AE-80EC37475B88}" uniqueName="11" name="Column11" queryTableFieldId="11" dataDxfId="28"/>
    <tableColumn id="12" xr3:uid="{7EC85E60-74E8-4FAD-B475-C431F12F77E9}" uniqueName="12" name="Column12" queryTableFieldId="12" dataDxfId="27"/>
    <tableColumn id="13" xr3:uid="{29398394-5B13-47FA-91EF-E6818E415434}" uniqueName="13" name="Column13" queryTableFieldId="13" dataDxfId="26"/>
    <tableColumn id="14" xr3:uid="{06EAF18A-B143-48C9-9F4E-9D94B9FD9DA0}" uniqueName="14" name="Column14" queryTableFieldId="14" dataDxfId="25"/>
    <tableColumn id="15" xr3:uid="{6B71FA16-026E-4367-A9BA-A34609C1395B}" uniqueName="15" name="Column15" queryTableFieldId="15" dataDxfId="24"/>
    <tableColumn id="16" xr3:uid="{5BDC2E00-E7D3-4FC1-876E-385D8C771087}" uniqueName="16" name="Column16" queryTableFieldId="16" dataDxfId="23"/>
    <tableColumn id="17" xr3:uid="{F1A7E199-A88D-41C0-833E-419AC44DFC08}" uniqueName="17" name="Column17" queryTableFieldId="17" dataDxfId="2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536ECE-7A89-4B37-86E2-E39C7C8D3244}" name="Iseries" displayName="Iseries" ref="A1:BA36" tableType="queryTable" totalsRowShown="0">
  <autoFilter ref="A1:BA36" xr:uid="{4A536ECE-7A89-4B37-86E2-E39C7C8D3244}"/>
  <tableColumns count="53">
    <tableColumn id="1" xr3:uid="{262C5ABD-71DE-4603-918F-9D3316F20277}" uniqueName="1" name="Column1" queryTableFieldId="1"/>
    <tableColumn id="2" xr3:uid="{53316575-A470-4D17-948F-029468146952}" uniqueName="2" name="Column2" queryTableFieldId="2"/>
    <tableColumn id="3" xr3:uid="{057A5600-3E0B-4DC0-9385-56337FC9D73E}" uniqueName="3" name="Column3" queryTableFieldId="3"/>
    <tableColumn id="4" xr3:uid="{A3AFDC26-7952-4EDF-A146-CCD458F764D8}" uniqueName="4" name="Column4" queryTableFieldId="4"/>
    <tableColumn id="5" xr3:uid="{10E3A7E1-4F85-40CB-B6D5-3CFC1EF21BF7}" uniqueName="5" name="Column5" queryTableFieldId="5"/>
    <tableColumn id="6" xr3:uid="{9858A4AB-489E-4365-8D6B-BC9B434F6F46}" uniqueName="6" name="Column6" queryTableFieldId="6"/>
    <tableColumn id="7" xr3:uid="{DBB4946D-9157-4A93-A1E5-FAD8D712062C}" uniqueName="7" name="Column7" queryTableFieldId="7"/>
    <tableColumn id="8" xr3:uid="{5E30D4D1-7E8E-4E14-8645-BE3BC452DC46}" uniqueName="8" name="Column8" queryTableFieldId="8"/>
    <tableColumn id="9" xr3:uid="{4951FCD6-7D6E-48A7-A571-224F8B02045C}" uniqueName="9" name="Column9" queryTableFieldId="9"/>
    <tableColumn id="10" xr3:uid="{1D903D6D-F0E3-4EF4-9C76-21C154226E47}" uniqueName="10" name="Column10" queryTableFieldId="10"/>
    <tableColumn id="11" xr3:uid="{CC8FDF37-019B-4704-BF96-438CCC9E9DC3}" uniqueName="11" name="Column11" queryTableFieldId="11"/>
    <tableColumn id="12" xr3:uid="{B43A0A46-27FF-4592-A887-2D5EBCDA9ADB}" uniqueName="12" name="Column12" queryTableFieldId="12"/>
    <tableColumn id="13" xr3:uid="{9609FA1C-A453-43E1-B473-32EBE07A2A21}" uniqueName="13" name="Column13" queryTableFieldId="13"/>
    <tableColumn id="14" xr3:uid="{4DC1CF4E-5627-4EA0-8172-D061BAE21C87}" uniqueName="14" name="Column14" queryTableFieldId="14"/>
    <tableColumn id="15" xr3:uid="{60A7BFFD-1DCF-403D-A097-E6E61EB5D5A5}" uniqueName="15" name="Column15" queryTableFieldId="15"/>
    <tableColumn id="16" xr3:uid="{F6144019-67F6-4259-8DB9-271735489A52}" uniqueName="16" name="Column16" queryTableFieldId="16"/>
    <tableColumn id="17" xr3:uid="{8BE82CAB-13A4-4796-BDB9-C0648A362C64}" uniqueName="17" name="Column17" queryTableFieldId="17"/>
    <tableColumn id="18" xr3:uid="{4EF17834-DB6C-4317-AF67-05CF87D1D94E}" uniqueName="18" name="Column18" queryTableFieldId="18"/>
    <tableColumn id="19" xr3:uid="{A2E156D1-771C-4D2F-886E-DF5E16DDB49D}" uniqueName="19" name="Column19" queryTableFieldId="19"/>
    <tableColumn id="20" xr3:uid="{A0A7F815-6921-4112-B9CD-A03B71B3F129}" uniqueName="20" name="Column20" queryTableFieldId="20"/>
    <tableColumn id="21" xr3:uid="{BED7DB73-F1E0-4ED4-91B6-F5387723B561}" uniqueName="21" name="Column21" queryTableFieldId="21"/>
    <tableColumn id="22" xr3:uid="{E687D6AE-3C97-450C-AB43-DD766D446EE6}" uniqueName="22" name="Column22" queryTableFieldId="22"/>
    <tableColumn id="23" xr3:uid="{A6E67763-9FF0-4C25-BD33-BE6F19AE6347}" uniqueName="23" name="Column23" queryTableFieldId="23"/>
    <tableColumn id="24" xr3:uid="{FEC74398-00B4-452D-8FA9-18AA3A4DA51A}" uniqueName="24" name="Column24" queryTableFieldId="24"/>
    <tableColumn id="25" xr3:uid="{FD03687C-8B66-4F2C-AFB3-B8D7D3BF1A1A}" uniqueName="25" name="Column25" queryTableFieldId="25"/>
    <tableColumn id="26" xr3:uid="{C41E09C8-80F8-4E87-A423-388675359B01}" uniqueName="26" name="Column26" queryTableFieldId="26"/>
    <tableColumn id="27" xr3:uid="{750D5062-AD7F-46DD-8499-F526D92BB745}" uniqueName="27" name="Column27" queryTableFieldId="27"/>
    <tableColumn id="28" xr3:uid="{40A2FEFD-74C3-4E83-B529-23CFA64B8467}" uniqueName="28" name="Column28" queryTableFieldId="28"/>
    <tableColumn id="29" xr3:uid="{F6259C7E-D3DD-4C35-BE11-5B3EE10890E9}" uniqueName="29" name="Column29" queryTableFieldId="29"/>
    <tableColumn id="30" xr3:uid="{93607D3A-4504-4437-82F0-23D3B90CFC35}" uniqueName="30" name="Column30" queryTableFieldId="30"/>
    <tableColumn id="31" xr3:uid="{523F392F-DBFA-4859-BD6F-49DD8D11D9C8}" uniqueName="31" name="Column31" queryTableFieldId="31"/>
    <tableColumn id="32" xr3:uid="{7D62CC0E-B02E-4825-8A86-EE00118BAC2F}" uniqueName="32" name="Column32" queryTableFieldId="32"/>
    <tableColumn id="33" xr3:uid="{266C798C-93AA-404C-841A-9359EAEA871E}" uniqueName="33" name="Column33" queryTableFieldId="33"/>
    <tableColumn id="34" xr3:uid="{3F1486F7-399D-4C08-BEBB-8D0DCD99D0CD}" uniqueName="34" name="Column34" queryTableFieldId="34"/>
    <tableColumn id="35" xr3:uid="{236C832F-0717-40D6-9797-4A637B904E83}" uniqueName="35" name="Column35" queryTableFieldId="35"/>
    <tableColumn id="36" xr3:uid="{403D8906-250A-4FBD-AC22-E0D9104EF862}" uniqueName="36" name="Column36" queryTableFieldId="36"/>
    <tableColumn id="37" xr3:uid="{0B207ACB-C4C3-4790-9157-3B20C656ABA7}" uniqueName="37" name="Column37" queryTableFieldId="37"/>
    <tableColumn id="38" xr3:uid="{3463D9DE-6324-42E4-BB7A-738984838412}" uniqueName="38" name="Column38" queryTableFieldId="38"/>
    <tableColumn id="39" xr3:uid="{E2CE99BB-D887-4D07-9B2D-E9D78F9FDAEF}" uniqueName="39" name="Column39" queryTableFieldId="39"/>
    <tableColumn id="40" xr3:uid="{09A7DF23-B03B-4C93-A2DB-9A544496B70E}" uniqueName="40" name="Column40" queryTableFieldId="40"/>
    <tableColumn id="41" xr3:uid="{6EA82785-51B4-4EA8-A723-04BED4E288E8}" uniqueName="41" name="Column41" queryTableFieldId="41"/>
    <tableColumn id="42" xr3:uid="{9633B987-CC72-4340-ADB7-321F6F3A8753}" uniqueName="42" name="Column42" queryTableFieldId="42"/>
    <tableColumn id="43" xr3:uid="{86C01477-1270-44D4-8B12-605EA818BB4E}" uniqueName="43" name="Column43" queryTableFieldId="43"/>
    <tableColumn id="44" xr3:uid="{7B0A4E80-8038-469F-8DCF-1714A6B560A8}" uniqueName="44" name="Column44" queryTableFieldId="44"/>
    <tableColumn id="45" xr3:uid="{5FEBDF2D-3EB3-4F68-9DA3-8221AB1B0CF3}" uniqueName="45" name="Column45" queryTableFieldId="45"/>
    <tableColumn id="46" xr3:uid="{FCBB2D85-7AD4-4760-9934-8EDF21E5A270}" uniqueName="46" name="Column46" queryTableFieldId="46"/>
    <tableColumn id="47" xr3:uid="{708743F4-DE5C-43F6-BD93-FD127BC78C79}" uniqueName="47" name="Column47" queryTableFieldId="47"/>
    <tableColumn id="48" xr3:uid="{0A9FA725-DEF4-404E-9884-AF8832DE8416}" uniqueName="48" name="Column48" queryTableFieldId="48"/>
    <tableColumn id="49" xr3:uid="{5033CFA2-370D-4147-BAEE-0906F3E2D679}" uniqueName="49" name="Column49" queryTableFieldId="49"/>
    <tableColumn id="50" xr3:uid="{F483122C-062E-469D-AF14-5584CA39F90E}" uniqueName="50" name="Column50" queryTableFieldId="50"/>
    <tableColumn id="51" xr3:uid="{F9C259F5-80FE-42EB-A4AD-F3D21EF66880}" uniqueName="51" name="Column51" queryTableFieldId="51"/>
    <tableColumn id="52" xr3:uid="{52BA74ED-2E5F-4879-941B-663FA4025EE8}" uniqueName="52" name="Column52" queryTableFieldId="52"/>
    <tableColumn id="53" xr3:uid="{7DC11D98-3943-410B-8213-EC5C9E76352D}" uniqueName="53" name="Column53" queryTableFieldId="5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39AE31-B1C4-49D2-B01A-0D58A406B774}" name="Table001__Page_1" displayName="Table001__Page_1" ref="A1:T24" tableType="queryTable" totalsRowShown="0" headerRowDxfId="21" dataDxfId="20">
  <autoFilter ref="A1:T24" xr:uid="{CC39AE31-B1C4-49D2-B01A-0D58A406B774}"/>
  <tableColumns count="20">
    <tableColumn id="1" xr3:uid="{C0CD39B2-DE16-425F-BFF8-64A09A831809}" uniqueName="1" name="Column1" queryTableFieldId="1" dataDxfId="19"/>
    <tableColumn id="2" xr3:uid="{4DD623E9-A21A-4159-B69A-226FC22C74B1}" uniqueName="2" name="Column2" queryTableFieldId="2" dataDxfId="18"/>
    <tableColumn id="3" xr3:uid="{838B6B7F-5358-4817-BF93-7EBA05EEB549}" uniqueName="3" name="Column3" queryTableFieldId="3" dataDxfId="17"/>
    <tableColumn id="4" xr3:uid="{7FFDB01C-DA85-4485-AD62-7DDEB4FEDB0C}" uniqueName="4" name="Column4" queryTableFieldId="4" dataDxfId="16"/>
    <tableColumn id="5" xr3:uid="{D6E0E2A9-DA86-4132-9DA0-EF3B3D168403}" uniqueName="5" name="Column5" queryTableFieldId="5" dataDxfId="15"/>
    <tableColumn id="6" xr3:uid="{482B0B30-7DBE-4C79-B718-57169E95B68B}" uniqueName="6" name="Column6" queryTableFieldId="6" dataDxfId="14"/>
    <tableColumn id="7" xr3:uid="{2BCE7C71-EB35-42A7-A2FA-7B0F2B7E642F}" uniqueName="7" name="Column7" queryTableFieldId="7" dataDxfId="13"/>
    <tableColumn id="8" xr3:uid="{4362A2A5-F20E-486C-ADD4-84367040A61B}" uniqueName="8" name="Column8" queryTableFieldId="8" dataDxfId="12"/>
    <tableColumn id="9" xr3:uid="{C0284153-B998-4424-8913-CF333F7F6CB8}" uniqueName="9" name="Column9" queryTableFieldId="9" dataDxfId="11"/>
    <tableColumn id="10" xr3:uid="{0A49EE22-0E68-4139-B918-F2B88A99DC43}" uniqueName="10" name="Column10" queryTableFieldId="10" dataDxfId="10"/>
    <tableColumn id="11" xr3:uid="{0EE0F015-467A-43F7-9282-E9E3EB1327D5}" uniqueName="11" name="Column11" queryTableFieldId="11" dataDxfId="9"/>
    <tableColumn id="12" xr3:uid="{A7B8EB5B-A534-420A-B261-AAFEDAEB1D61}" uniqueName="12" name="Column12" queryTableFieldId="12" dataDxfId="8"/>
    <tableColumn id="13" xr3:uid="{3CC10217-756E-4909-9B2D-DAE38B920741}" uniqueName="13" name="Column13" queryTableFieldId="13" dataDxfId="7"/>
    <tableColumn id="14" xr3:uid="{1905DB82-463B-49BF-A2C7-3BAC5278D78A}" uniqueName="14" name="Column14" queryTableFieldId="14" dataDxfId="6"/>
    <tableColumn id="15" xr3:uid="{02E1940F-1B19-4ACD-9A9E-C4642D599311}" uniqueName="15" name="Column15" queryTableFieldId="15" dataDxfId="5"/>
    <tableColumn id="16" xr3:uid="{B6366D03-942C-4EF0-A444-8B7B0B6E2461}" uniqueName="16" name="Column16" queryTableFieldId="16" dataDxfId="4"/>
    <tableColumn id="17" xr3:uid="{AEC8C68A-7E41-42FC-8EFF-89498C8166D0}" uniqueName="17" name="Column17" queryTableFieldId="17" dataDxfId="3"/>
    <tableColumn id="18" xr3:uid="{0AC272C5-6D43-4E73-A241-3A8DA0A4EBEA}" uniqueName="18" name="Column18" queryTableFieldId="18" dataDxfId="2"/>
    <tableColumn id="19" xr3:uid="{7A84C5C7-6832-4214-8831-1F795316FF62}" uniqueName="19" name="Column19" queryTableFieldId="19" dataDxfId="1"/>
    <tableColumn id="20" xr3:uid="{AE97D4F5-CCBE-4CD5-9905-EB70AD68C24B}" uniqueName="20" name="Column20" queryTableFieldId="2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A1DB1-ECC5-491D-80C2-F60997CF8FDE}">
  <sheetPr codeName="Sheet8"/>
  <dimension ref="B2:M13"/>
  <sheetViews>
    <sheetView tabSelected="1" workbookViewId="0">
      <selection activeCell="I12" sqref="I12:I13"/>
    </sheetView>
  </sheetViews>
  <sheetFormatPr defaultRowHeight="15" x14ac:dyDescent="0.25"/>
  <cols>
    <col min="1" max="1" width="16.28515625" bestFit="1" customWidth="1"/>
    <col min="2" max="2" width="8.85546875" bestFit="1" customWidth="1"/>
    <col min="3" max="3" width="7" bestFit="1" customWidth="1"/>
    <col min="4" max="4" width="14" bestFit="1" customWidth="1"/>
    <col min="5" max="5" width="14.85546875" bestFit="1" customWidth="1"/>
    <col min="6" max="6" width="17.42578125" bestFit="1" customWidth="1"/>
    <col min="7" max="7" width="13.42578125" bestFit="1" customWidth="1"/>
    <col min="9" max="9" width="14.140625" bestFit="1" customWidth="1"/>
    <col min="10" max="10" width="12" bestFit="1" customWidth="1"/>
    <col min="11" max="11" width="14.7109375" bestFit="1" customWidth="1"/>
    <col min="12" max="12" width="12" bestFit="1" customWidth="1"/>
    <col min="13" max="13" width="17.42578125" bestFit="1" customWidth="1"/>
  </cols>
  <sheetData>
    <row r="2" spans="2:13" ht="15.75" thickBot="1" x14ac:dyDescent="0.3">
      <c r="B2" s="67" t="s">
        <v>181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</row>
    <row r="3" spans="2:13" ht="51" customHeight="1" x14ac:dyDescent="0.25">
      <c r="B3" s="81"/>
      <c r="C3" s="84">
        <f ca="1">YEAR(TODAY())</f>
        <v>2025</v>
      </c>
      <c r="D3" s="87" t="s">
        <v>154</v>
      </c>
      <c r="E3" s="90" t="s">
        <v>155</v>
      </c>
      <c r="F3" s="93" t="s">
        <v>156</v>
      </c>
      <c r="G3" s="109" t="s">
        <v>157</v>
      </c>
      <c r="H3" s="112" t="s">
        <v>158</v>
      </c>
      <c r="I3" s="115" t="s">
        <v>159</v>
      </c>
      <c r="J3" s="118" t="s">
        <v>160</v>
      </c>
      <c r="K3" s="104" t="s">
        <v>184</v>
      </c>
      <c r="L3" s="121" t="s">
        <v>161</v>
      </c>
      <c r="M3" s="101" t="s">
        <v>162</v>
      </c>
    </row>
    <row r="4" spans="2:13" x14ac:dyDescent="0.25">
      <c r="B4" s="82"/>
      <c r="C4" s="86"/>
      <c r="D4" s="88"/>
      <c r="E4" s="91"/>
      <c r="F4" s="94"/>
      <c r="G4" s="110"/>
      <c r="H4" s="113"/>
      <c r="I4" s="116"/>
      <c r="J4" s="119"/>
      <c r="K4" s="105"/>
      <c r="L4" s="122"/>
      <c r="M4" s="102"/>
    </row>
    <row r="5" spans="2:13" x14ac:dyDescent="0.25">
      <c r="B5" s="82"/>
      <c r="C5" s="86"/>
      <c r="D5" s="88"/>
      <c r="E5" s="91"/>
      <c r="F5" s="94"/>
      <c r="G5" s="110"/>
      <c r="H5" s="113"/>
      <c r="I5" s="116"/>
      <c r="J5" s="119"/>
      <c r="K5" s="105"/>
      <c r="L5" s="122"/>
      <c r="M5" s="102"/>
    </row>
    <row r="6" spans="2:13" x14ac:dyDescent="0.25">
      <c r="B6" s="82"/>
      <c r="C6" s="86"/>
      <c r="D6" s="88"/>
      <c r="E6" s="91"/>
      <c r="F6" s="94"/>
      <c r="G6" s="110"/>
      <c r="H6" s="113"/>
      <c r="I6" s="116"/>
      <c r="J6" s="119"/>
      <c r="K6" s="105"/>
      <c r="L6" s="122"/>
      <c r="M6" s="102"/>
    </row>
    <row r="7" spans="2:13" ht="15.75" thickBot="1" x14ac:dyDescent="0.3">
      <c r="B7" s="83"/>
      <c r="C7" s="85"/>
      <c r="D7" s="89"/>
      <c r="E7" s="92"/>
      <c r="F7" s="95"/>
      <c r="G7" s="111"/>
      <c r="H7" s="114"/>
      <c r="I7" s="117"/>
      <c r="J7" s="120"/>
      <c r="K7" s="106"/>
      <c r="L7" s="123"/>
      <c r="M7" s="103"/>
    </row>
    <row r="8" spans="2:13" ht="51" customHeight="1" x14ac:dyDescent="0.25">
      <c r="B8" s="56" t="str">
        <f ca="1">"WEEK " &amp; WEEKNUM(TODAY())</f>
        <v>WEEK 28</v>
      </c>
      <c r="C8" s="84" t="s">
        <v>164</v>
      </c>
      <c r="D8" s="75" t="str">
        <f>DCOPERATOR!C18</f>
        <v>Beredskap Kegert</v>
      </c>
      <c r="E8" s="97" t="str">
        <f ca="1">Iseries!D40</f>
        <v>IPOC</v>
      </c>
      <c r="F8" s="77" t="str">
        <f>Windows!E39</f>
        <v>Jerker Olin</v>
      </c>
      <c r="G8" s="124" t="str">
        <f ca="1">DCUNIX!E38</f>
        <v>Hans-Göran Karlsson</v>
      </c>
      <c r="H8" s="79"/>
      <c r="I8" s="115"/>
      <c r="J8" s="61" t="s">
        <v>198</v>
      </c>
      <c r="K8" s="63" t="str">
        <f ca="1">MYSQL!AA17</f>
        <v>Tomas Jansson</v>
      </c>
      <c r="L8" s="65" t="str">
        <f>J8</f>
        <v>eric sanders</v>
      </c>
      <c r="M8" s="70"/>
    </row>
    <row r="9" spans="2:13" x14ac:dyDescent="0.25">
      <c r="B9" s="56" t="str">
        <f ca="1">TEXT(TODAY() - WEEKDAY(TODAY(), 2) + 1, "d MMMM")</f>
        <v>7 juli</v>
      </c>
      <c r="C9" s="86"/>
      <c r="D9" s="96"/>
      <c r="E9" s="98"/>
      <c r="F9" s="100"/>
      <c r="G9" s="125"/>
      <c r="H9" s="127"/>
      <c r="I9" s="116"/>
      <c r="J9" s="107"/>
      <c r="K9" s="69"/>
      <c r="L9" s="108"/>
      <c r="M9" s="71"/>
    </row>
    <row r="10" spans="2:13" x14ac:dyDescent="0.25">
      <c r="B10" s="56" t="s">
        <v>163</v>
      </c>
      <c r="C10" s="86"/>
      <c r="D10" s="96"/>
      <c r="E10" s="98"/>
      <c r="F10" s="100"/>
      <c r="G10" s="125"/>
      <c r="H10" s="127"/>
      <c r="I10" s="116"/>
      <c r="J10" s="107"/>
      <c r="K10" s="69"/>
      <c r="L10" s="108"/>
      <c r="M10" s="71"/>
    </row>
    <row r="11" spans="2:13" ht="15.75" thickBot="1" x14ac:dyDescent="0.3">
      <c r="B11" s="57" t="str">
        <f ca="1">TEXT(TODAY() - WEEKDAY(TODAY(), 2) + 7, "d MMMM")</f>
        <v>13 juli</v>
      </c>
      <c r="C11" s="85"/>
      <c r="D11" s="76"/>
      <c r="E11" s="99"/>
      <c r="F11" s="78"/>
      <c r="G11" s="126"/>
      <c r="H11" s="80"/>
      <c r="I11" s="116"/>
      <c r="J11" s="62"/>
      <c r="K11" s="64"/>
      <c r="L11" s="66"/>
      <c r="M11" s="72"/>
    </row>
    <row r="12" spans="2:13" x14ac:dyDescent="0.25">
      <c r="B12" s="73"/>
      <c r="C12" s="84" t="s">
        <v>165</v>
      </c>
      <c r="D12" s="132" t="str">
        <f>DCOPERATOR!D18</f>
        <v>+46 70 2463313</v>
      </c>
      <c r="E12" s="134" t="str">
        <f ca="1">Iseries!E40</f>
        <v>+46 10 207 04 04</v>
      </c>
      <c r="F12" s="136" t="str">
        <f>Windows!F39</f>
        <v>+46 70 2448543</v>
      </c>
      <c r="G12" s="137">
        <f ca="1">DCUNIX!F38</f>
        <v>46706310454</v>
      </c>
      <c r="H12" s="138"/>
      <c r="I12" s="128" t="e">
        <f>Network!E7</f>
        <v>#N/A</v>
      </c>
      <c r="J12" s="130">
        <f>WebTeam!E7</f>
        <v>19142813751</v>
      </c>
      <c r="K12" s="139" t="str">
        <f ca="1">MYSQL!AB17</f>
        <v>+46-70 688 7594</v>
      </c>
      <c r="L12" s="140">
        <f>J12</f>
        <v>19142813751</v>
      </c>
      <c r="M12" s="141" t="s">
        <v>167</v>
      </c>
    </row>
    <row r="13" spans="2:13" ht="15.75" thickBot="1" x14ac:dyDescent="0.3">
      <c r="B13" s="74"/>
      <c r="C13" s="85"/>
      <c r="D13" s="133"/>
      <c r="E13" s="135"/>
      <c r="F13" s="142"/>
      <c r="G13" s="143"/>
      <c r="H13" s="144"/>
      <c r="I13" s="129"/>
      <c r="J13" s="131"/>
      <c r="K13" s="145"/>
      <c r="L13" s="146"/>
      <c r="M13" s="147"/>
    </row>
  </sheetData>
  <mergeCells count="36">
    <mergeCell ref="M3:M7"/>
    <mergeCell ref="K3:K7"/>
    <mergeCell ref="C8:C11"/>
    <mergeCell ref="J8:J11"/>
    <mergeCell ref="L8:L11"/>
    <mergeCell ref="G3:G7"/>
    <mergeCell ref="H3:H7"/>
    <mergeCell ref="I3:I7"/>
    <mergeCell ref="J3:J7"/>
    <mergeCell ref="L3:L7"/>
    <mergeCell ref="G8:G11"/>
    <mergeCell ref="H8:H11"/>
    <mergeCell ref="C12:C13"/>
    <mergeCell ref="C3:C7"/>
    <mergeCell ref="D3:D7"/>
    <mergeCell ref="E3:E7"/>
    <mergeCell ref="F3:F7"/>
    <mergeCell ref="D8:D11"/>
    <mergeCell ref="E8:E11"/>
    <mergeCell ref="F8:F11"/>
    <mergeCell ref="J12:J13"/>
    <mergeCell ref="K12:K13"/>
    <mergeCell ref="L12:L13"/>
    <mergeCell ref="M12:M13"/>
    <mergeCell ref="B2:M2"/>
    <mergeCell ref="I8:I11"/>
    <mergeCell ref="K8:K11"/>
    <mergeCell ref="M8:M11"/>
    <mergeCell ref="B12:B13"/>
    <mergeCell ref="D12:D13"/>
    <mergeCell ref="E12:E13"/>
    <mergeCell ref="F12:F13"/>
    <mergeCell ref="G12:G13"/>
    <mergeCell ref="H12:H13"/>
    <mergeCell ref="I12:I13"/>
    <mergeCell ref="B3:B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DF04-61C2-4087-AE45-7702CBADD7CA}">
  <sheetPr codeName="Sheet1"/>
  <dimension ref="A1:F21"/>
  <sheetViews>
    <sheetView topLeftCell="A4" workbookViewId="0">
      <selection activeCell="A15" sqref="A15"/>
    </sheetView>
  </sheetViews>
  <sheetFormatPr defaultRowHeight="15" x14ac:dyDescent="0.25"/>
  <cols>
    <col min="1" max="1" width="15.28515625" bestFit="1" customWidth="1"/>
    <col min="2" max="2" width="17.42578125" bestFit="1" customWidth="1"/>
    <col min="3" max="3" width="15.5703125" bestFit="1" customWidth="1"/>
    <col min="4" max="4" width="15.28515625" bestFit="1" customWidth="1"/>
    <col min="5" max="5" width="11.42578125" bestFit="1" customWidth="1"/>
    <col min="6" max="6" width="31.28515625" bestFit="1" customWidth="1"/>
  </cols>
  <sheetData>
    <row r="1" spans="1:6" x14ac:dyDescent="0.25">
      <c r="A1" t="s">
        <v>1</v>
      </c>
      <c r="B1" t="s">
        <v>2</v>
      </c>
      <c r="C1" t="s">
        <v>0</v>
      </c>
      <c r="D1" t="s">
        <v>3</v>
      </c>
      <c r="E1" t="s">
        <v>5</v>
      </c>
      <c r="F1" t="s">
        <v>4</v>
      </c>
    </row>
    <row r="2" spans="1:6" x14ac:dyDescent="0.25">
      <c r="A2" s="1">
        <v>45827</v>
      </c>
      <c r="B2" s="1">
        <v>45833.999305555553</v>
      </c>
      <c r="C2" s="2" t="s">
        <v>6</v>
      </c>
      <c r="D2" t="b">
        <v>0</v>
      </c>
      <c r="E2" s="2" t="s">
        <v>8</v>
      </c>
      <c r="F2" s="2" t="s">
        <v>7</v>
      </c>
    </row>
    <row r="3" spans="1:6" x14ac:dyDescent="0.25">
      <c r="A3" s="1">
        <v>45834</v>
      </c>
      <c r="B3" s="1">
        <v>45837.999305555553</v>
      </c>
      <c r="C3" s="2" t="s">
        <v>9</v>
      </c>
      <c r="D3" t="b">
        <v>0</v>
      </c>
      <c r="E3" s="2" t="s">
        <v>8</v>
      </c>
      <c r="F3" s="2" t="s">
        <v>7</v>
      </c>
    </row>
    <row r="4" spans="1:6" x14ac:dyDescent="0.25">
      <c r="A4" s="1">
        <v>45838</v>
      </c>
      <c r="B4" s="1">
        <v>45844.999305555553</v>
      </c>
      <c r="C4" s="2" t="s">
        <v>10</v>
      </c>
      <c r="D4" t="b">
        <v>0</v>
      </c>
      <c r="E4" s="2" t="s">
        <v>8</v>
      </c>
      <c r="F4" s="2" t="s">
        <v>7</v>
      </c>
    </row>
    <row r="5" spans="1:6" x14ac:dyDescent="0.25">
      <c r="A5" s="1">
        <v>45845</v>
      </c>
      <c r="B5" s="1">
        <v>45851.999305555553</v>
      </c>
      <c r="C5" s="2" t="s">
        <v>9</v>
      </c>
      <c r="D5" t="b">
        <v>0</v>
      </c>
      <c r="E5" s="2" t="s">
        <v>8</v>
      </c>
      <c r="F5" s="2" t="s">
        <v>7</v>
      </c>
    </row>
    <row r="6" spans="1:6" x14ac:dyDescent="0.25">
      <c r="A6" s="1">
        <v>45852</v>
      </c>
      <c r="B6" s="1">
        <v>45858.999305555553</v>
      </c>
      <c r="C6" s="2" t="s">
        <v>6</v>
      </c>
      <c r="D6" t="b">
        <v>0</v>
      </c>
      <c r="E6" s="2" t="s">
        <v>8</v>
      </c>
      <c r="F6" s="2" t="s">
        <v>7</v>
      </c>
    </row>
    <row r="7" spans="1:6" x14ac:dyDescent="0.25">
      <c r="A7" s="1">
        <v>45859</v>
      </c>
      <c r="B7" s="1">
        <v>45865.999305555553</v>
      </c>
      <c r="C7" s="2" t="s">
        <v>11</v>
      </c>
      <c r="D7" t="b">
        <v>0</v>
      </c>
      <c r="E7" s="2" t="s">
        <v>8</v>
      </c>
      <c r="F7" s="2" t="s">
        <v>7</v>
      </c>
    </row>
    <row r="8" spans="1:6" x14ac:dyDescent="0.25">
      <c r="A8" s="1">
        <v>45866</v>
      </c>
      <c r="B8" s="1">
        <v>45872.999305555553</v>
      </c>
      <c r="C8" s="2" t="s">
        <v>10</v>
      </c>
      <c r="D8" t="b">
        <v>0</v>
      </c>
      <c r="E8" s="2" t="s">
        <v>8</v>
      </c>
      <c r="F8" s="2" t="s">
        <v>7</v>
      </c>
    </row>
    <row r="9" spans="1:6" x14ac:dyDescent="0.25">
      <c r="A9" s="1">
        <v>45873</v>
      </c>
      <c r="B9" s="1">
        <v>45875.999305555553</v>
      </c>
      <c r="C9" s="2" t="s">
        <v>10</v>
      </c>
      <c r="D9" t="b">
        <v>0</v>
      </c>
      <c r="E9" s="2" t="s">
        <v>8</v>
      </c>
      <c r="F9" s="2" t="s">
        <v>7</v>
      </c>
    </row>
    <row r="10" spans="1:6" x14ac:dyDescent="0.25">
      <c r="A10" s="1">
        <v>45876</v>
      </c>
      <c r="B10" s="1">
        <v>45882.999305555553</v>
      </c>
      <c r="C10" s="2" t="s">
        <v>6</v>
      </c>
      <c r="D10" t="b">
        <v>0</v>
      </c>
      <c r="E10" s="2" t="s">
        <v>8</v>
      </c>
      <c r="F10" s="2" t="s">
        <v>7</v>
      </c>
    </row>
    <row r="12" spans="1:6" x14ac:dyDescent="0.25">
      <c r="A12" t="s">
        <v>13</v>
      </c>
    </row>
    <row r="13" spans="1:6" x14ac:dyDescent="0.25">
      <c r="A13" t="str" cm="1">
        <f t="array" aca="1" ref="A13" ca="1">INDEX(C2:C10, MATCH(TRUE, IF((INT(A2:A10)&lt;=TODAY())*(INT(B2:B10)&gt;=TODAY()), TRUE), 0))</f>
        <v>Beredskap Kegert</v>
      </c>
    </row>
    <row r="14" spans="1:6" x14ac:dyDescent="0.25">
      <c r="A14" t="str" cm="1">
        <f t="array" ref="A14">FindValueByDate(A2:A10, B2:B10, C2:C10)</f>
        <v>Beredskap Kegert</v>
      </c>
    </row>
    <row r="15" spans="1:6" x14ac:dyDescent="0.25">
      <c r="D15" s="3"/>
    </row>
    <row r="16" spans="1:6" x14ac:dyDescent="0.25">
      <c r="D16" s="1"/>
    </row>
    <row r="18" spans="1:4" x14ac:dyDescent="0.25">
      <c r="A18" s="59" t="s">
        <v>9</v>
      </c>
      <c r="B18" t="s">
        <v>166</v>
      </c>
      <c r="C18" t="str">
        <f>A14</f>
        <v>Beredskap Kegert</v>
      </c>
      <c r="D18" t="str">
        <f>VLOOKUP(C18,A18:B21,2,0)</f>
        <v>+46 70 2463313</v>
      </c>
    </row>
    <row r="19" spans="1:4" x14ac:dyDescent="0.25">
      <c r="A19" s="59" t="s">
        <v>11</v>
      </c>
      <c r="B19" t="s">
        <v>168</v>
      </c>
    </row>
    <row r="20" spans="1:4" x14ac:dyDescent="0.25">
      <c r="A20" s="59" t="s">
        <v>6</v>
      </c>
      <c r="B20" t="s">
        <v>169</v>
      </c>
    </row>
    <row r="21" spans="1:4" x14ac:dyDescent="0.25">
      <c r="A21" s="59" t="s">
        <v>10</v>
      </c>
      <c r="B21" t="s">
        <v>170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AC5B1-DF45-4343-A71F-A5505B2977E1}">
  <sheetPr codeName="Sheet2"/>
  <dimension ref="A1:Q43"/>
  <sheetViews>
    <sheetView topLeftCell="A28" workbookViewId="0">
      <selection activeCell="A44" sqref="A44"/>
    </sheetView>
  </sheetViews>
  <sheetFormatPr defaultRowHeight="15" x14ac:dyDescent="0.25"/>
  <cols>
    <col min="1" max="1" width="18.5703125" bestFit="1" customWidth="1"/>
    <col min="2" max="2" width="10.28515625" bestFit="1" customWidth="1"/>
    <col min="3" max="3" width="13.140625" bestFit="1" customWidth="1"/>
    <col min="4" max="4" width="12" bestFit="1" customWidth="1"/>
    <col min="5" max="5" width="12.28515625" bestFit="1" customWidth="1"/>
    <col min="6" max="9" width="10.28515625" bestFit="1" customWidth="1"/>
    <col min="10" max="17" width="11.28515625" bestFit="1" customWidth="1"/>
  </cols>
  <sheetData>
    <row r="1" spans="1:17" x14ac:dyDescent="0.25">
      <c r="A1" t="s">
        <v>12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  <c r="P1" t="s">
        <v>28</v>
      </c>
      <c r="Q1" t="s">
        <v>29</v>
      </c>
    </row>
    <row r="2" spans="1:17" x14ac:dyDescent="0.25">
      <c r="A2">
        <v>2025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</row>
    <row r="3" spans="1:17" x14ac:dyDescent="0.25">
      <c r="A3" t="s">
        <v>30</v>
      </c>
      <c r="D3" t="s">
        <v>31</v>
      </c>
      <c r="H3" t="s">
        <v>31</v>
      </c>
      <c r="L3" t="s">
        <v>31</v>
      </c>
    </row>
    <row r="4" spans="1:17" x14ac:dyDescent="0.25">
      <c r="A4" t="s">
        <v>32</v>
      </c>
      <c r="B4" t="s">
        <v>31</v>
      </c>
      <c r="E4" t="s">
        <v>31</v>
      </c>
      <c r="I4" t="s">
        <v>31</v>
      </c>
      <c r="M4" t="s">
        <v>31</v>
      </c>
    </row>
    <row r="5" spans="1:17" x14ac:dyDescent="0.25">
      <c r="A5" t="s">
        <v>33</v>
      </c>
      <c r="F5" t="s">
        <v>31</v>
      </c>
      <c r="J5" t="s">
        <v>31</v>
      </c>
    </row>
    <row r="6" spans="1:17" x14ac:dyDescent="0.25">
      <c r="A6" t="s">
        <v>34</v>
      </c>
      <c r="C6" t="s">
        <v>31</v>
      </c>
      <c r="G6" t="s">
        <v>31</v>
      </c>
      <c r="K6" t="s">
        <v>31</v>
      </c>
    </row>
    <row r="7" spans="1:17" x14ac:dyDescent="0.25">
      <c r="B7">
        <v>13</v>
      </c>
      <c r="C7">
        <v>14</v>
      </c>
      <c r="D7">
        <v>15</v>
      </c>
      <c r="E7">
        <v>16</v>
      </c>
      <c r="F7">
        <v>17</v>
      </c>
      <c r="G7">
        <v>18</v>
      </c>
      <c r="H7">
        <v>19</v>
      </c>
      <c r="I7">
        <v>20</v>
      </c>
      <c r="J7">
        <v>21</v>
      </c>
      <c r="K7">
        <v>22</v>
      </c>
      <c r="L7">
        <v>23</v>
      </c>
      <c r="M7">
        <v>24</v>
      </c>
    </row>
    <row r="8" spans="1:17" x14ac:dyDescent="0.25">
      <c r="A8" t="s">
        <v>30</v>
      </c>
      <c r="D8" t="s">
        <v>31</v>
      </c>
      <c r="H8" t="s">
        <v>31</v>
      </c>
      <c r="L8" t="s">
        <v>31</v>
      </c>
    </row>
    <row r="9" spans="1:17" x14ac:dyDescent="0.25">
      <c r="A9" t="s">
        <v>32</v>
      </c>
      <c r="E9" t="s">
        <v>31</v>
      </c>
      <c r="I9" t="s">
        <v>31</v>
      </c>
      <c r="M9" t="s">
        <v>31</v>
      </c>
    </row>
    <row r="10" spans="1:17" x14ac:dyDescent="0.25">
      <c r="A10" t="s">
        <v>33</v>
      </c>
      <c r="B10" t="s">
        <v>31</v>
      </c>
      <c r="F10" t="s">
        <v>31</v>
      </c>
      <c r="J10" t="s">
        <v>31</v>
      </c>
    </row>
    <row r="11" spans="1:17" x14ac:dyDescent="0.25">
      <c r="A11" t="s">
        <v>34</v>
      </c>
      <c r="C11" t="s">
        <v>31</v>
      </c>
      <c r="G11" t="s">
        <v>31</v>
      </c>
      <c r="K11" t="s">
        <v>31</v>
      </c>
    </row>
    <row r="12" spans="1:17" x14ac:dyDescent="0.25">
      <c r="B12">
        <v>25</v>
      </c>
      <c r="C12">
        <v>26</v>
      </c>
      <c r="D12">
        <v>27</v>
      </c>
      <c r="E12">
        <v>28</v>
      </c>
      <c r="F12">
        <v>29</v>
      </c>
      <c r="G12">
        <v>30</v>
      </c>
      <c r="H12">
        <v>31</v>
      </c>
      <c r="I12">
        <v>32</v>
      </c>
      <c r="J12">
        <v>33</v>
      </c>
      <c r="K12">
        <v>34</v>
      </c>
      <c r="L12">
        <v>35</v>
      </c>
      <c r="M12">
        <v>36</v>
      </c>
    </row>
    <row r="13" spans="1:17" x14ac:dyDescent="0.25">
      <c r="A13" t="s">
        <v>30</v>
      </c>
      <c r="B13" t="s">
        <v>31</v>
      </c>
      <c r="E13" t="s">
        <v>31</v>
      </c>
      <c r="I13" t="s">
        <v>31</v>
      </c>
      <c r="M13" t="s">
        <v>31</v>
      </c>
    </row>
    <row r="14" spans="1:17" x14ac:dyDescent="0.25">
      <c r="A14" t="s">
        <v>32</v>
      </c>
      <c r="F14" t="s">
        <v>31</v>
      </c>
      <c r="J14" t="s">
        <v>31</v>
      </c>
    </row>
    <row r="15" spans="1:17" x14ac:dyDescent="0.25">
      <c r="A15" t="s">
        <v>33</v>
      </c>
      <c r="C15" t="s">
        <v>31</v>
      </c>
      <c r="G15" t="s">
        <v>31</v>
      </c>
      <c r="K15" t="s">
        <v>31</v>
      </c>
    </row>
    <row r="16" spans="1:17" x14ac:dyDescent="0.25">
      <c r="A16" t="s">
        <v>34</v>
      </c>
      <c r="D16" t="s">
        <v>31</v>
      </c>
      <c r="H16" t="s">
        <v>31</v>
      </c>
      <c r="L16" t="s">
        <v>31</v>
      </c>
    </row>
    <row r="17" spans="1:13" x14ac:dyDescent="0.25">
      <c r="B17">
        <v>37</v>
      </c>
      <c r="C17">
        <v>38</v>
      </c>
      <c r="D17">
        <v>39</v>
      </c>
      <c r="E17">
        <v>40</v>
      </c>
      <c r="F17">
        <v>41</v>
      </c>
      <c r="G17">
        <v>42</v>
      </c>
      <c r="H17">
        <v>43</v>
      </c>
      <c r="I17">
        <v>44</v>
      </c>
      <c r="J17">
        <v>45</v>
      </c>
      <c r="K17">
        <v>46</v>
      </c>
      <c r="L17">
        <v>47</v>
      </c>
      <c r="M17">
        <v>48</v>
      </c>
    </row>
    <row r="18" spans="1:13" x14ac:dyDescent="0.25">
      <c r="A18" t="s">
        <v>30</v>
      </c>
      <c r="E18" t="s">
        <v>31</v>
      </c>
      <c r="I18" t="s">
        <v>31</v>
      </c>
      <c r="M18" t="s">
        <v>31</v>
      </c>
    </row>
    <row r="19" spans="1:13" x14ac:dyDescent="0.25">
      <c r="A19" t="s">
        <v>32</v>
      </c>
      <c r="B19" t="s">
        <v>31</v>
      </c>
      <c r="F19" t="s">
        <v>31</v>
      </c>
      <c r="J19" t="s">
        <v>31</v>
      </c>
    </row>
    <row r="20" spans="1:13" x14ac:dyDescent="0.25">
      <c r="A20" t="s">
        <v>33</v>
      </c>
      <c r="C20" t="s">
        <v>31</v>
      </c>
      <c r="G20" t="s">
        <v>31</v>
      </c>
      <c r="K20" t="s">
        <v>31</v>
      </c>
    </row>
    <row r="21" spans="1:13" x14ac:dyDescent="0.25">
      <c r="A21" t="s">
        <v>34</v>
      </c>
      <c r="D21" t="s">
        <v>31</v>
      </c>
      <c r="H21" t="s">
        <v>31</v>
      </c>
      <c r="L21" t="s">
        <v>31</v>
      </c>
    </row>
    <row r="22" spans="1:13" x14ac:dyDescent="0.25">
      <c r="B22">
        <v>49</v>
      </c>
      <c r="C22">
        <v>50</v>
      </c>
      <c r="D22">
        <v>51</v>
      </c>
      <c r="E22">
        <v>52</v>
      </c>
      <c r="F22">
        <v>1</v>
      </c>
      <c r="G22">
        <v>2</v>
      </c>
      <c r="H22">
        <v>3</v>
      </c>
      <c r="I22">
        <v>4</v>
      </c>
      <c r="J22">
        <v>5</v>
      </c>
      <c r="K22">
        <v>6</v>
      </c>
      <c r="L22">
        <v>7</v>
      </c>
      <c r="M22">
        <v>8</v>
      </c>
    </row>
    <row r="23" spans="1:13" x14ac:dyDescent="0.25">
      <c r="A23" t="s">
        <v>30</v>
      </c>
      <c r="G23" t="s">
        <v>31</v>
      </c>
      <c r="K23" t="s">
        <v>31</v>
      </c>
    </row>
    <row r="24" spans="1:13" x14ac:dyDescent="0.25">
      <c r="A24" t="s">
        <v>32</v>
      </c>
      <c r="B24" t="s">
        <v>31</v>
      </c>
      <c r="H24" t="s">
        <v>31</v>
      </c>
      <c r="L24" t="s">
        <v>31</v>
      </c>
    </row>
    <row r="25" spans="1:13" x14ac:dyDescent="0.25">
      <c r="A25" t="s">
        <v>33</v>
      </c>
      <c r="C25" t="s">
        <v>31</v>
      </c>
      <c r="E25" t="s">
        <v>31</v>
      </c>
      <c r="I25" t="s">
        <v>31</v>
      </c>
      <c r="M25" t="s">
        <v>31</v>
      </c>
    </row>
    <row r="26" spans="1:13" x14ac:dyDescent="0.25">
      <c r="A26" t="s">
        <v>34</v>
      </c>
      <c r="D26" t="s">
        <v>31</v>
      </c>
      <c r="F26" t="s">
        <v>31</v>
      </c>
      <c r="J26" t="s">
        <v>31</v>
      </c>
    </row>
    <row r="27" spans="1:13" x14ac:dyDescent="0.25">
      <c r="B27">
        <v>2017</v>
      </c>
      <c r="C27">
        <v>2018</v>
      </c>
      <c r="D27">
        <v>2019</v>
      </c>
      <c r="E27">
        <v>2020</v>
      </c>
      <c r="F27">
        <v>2021</v>
      </c>
      <c r="G27">
        <v>2022</v>
      </c>
      <c r="H27">
        <v>2023</v>
      </c>
      <c r="I27">
        <v>2024</v>
      </c>
      <c r="J27">
        <v>2025</v>
      </c>
      <c r="K27">
        <v>2026</v>
      </c>
      <c r="L27">
        <v>2027</v>
      </c>
      <c r="M27">
        <v>2028</v>
      </c>
    </row>
    <row r="28" spans="1:13" x14ac:dyDescent="0.25">
      <c r="A28" t="s">
        <v>35</v>
      </c>
      <c r="B28" t="s">
        <v>36</v>
      </c>
      <c r="C28" t="s">
        <v>37</v>
      </c>
      <c r="D28" t="s">
        <v>38</v>
      </c>
      <c r="E28" t="s">
        <v>39</v>
      </c>
      <c r="F28" t="s">
        <v>36</v>
      </c>
      <c r="G28" t="s">
        <v>37</v>
      </c>
      <c r="H28" t="s">
        <v>38</v>
      </c>
      <c r="I28" t="s">
        <v>39</v>
      </c>
      <c r="J28" t="s">
        <v>36</v>
      </c>
    </row>
    <row r="29" spans="1:13" x14ac:dyDescent="0.25">
      <c r="A29" t="s">
        <v>40</v>
      </c>
      <c r="B29" t="s">
        <v>38</v>
      </c>
      <c r="C29" t="s">
        <v>39</v>
      </c>
      <c r="D29" t="s">
        <v>36</v>
      </c>
      <c r="E29" t="s">
        <v>37</v>
      </c>
      <c r="F29" t="s">
        <v>38</v>
      </c>
      <c r="G29" t="s">
        <v>39</v>
      </c>
      <c r="H29" t="s">
        <v>36</v>
      </c>
      <c r="I29" t="s">
        <v>41</v>
      </c>
      <c r="J29" t="s">
        <v>38</v>
      </c>
    </row>
    <row r="30" spans="1:13" x14ac:dyDescent="0.25">
      <c r="A30" t="s">
        <v>42</v>
      </c>
      <c r="B30" t="s">
        <v>37</v>
      </c>
      <c r="C30" t="s">
        <v>38</v>
      </c>
      <c r="D30" t="s">
        <v>39</v>
      </c>
      <c r="E30" t="s">
        <v>36</v>
      </c>
      <c r="F30" t="s">
        <v>37</v>
      </c>
      <c r="G30" t="s">
        <v>38</v>
      </c>
      <c r="H30" t="s">
        <v>39</v>
      </c>
      <c r="I30" t="s">
        <v>36</v>
      </c>
      <c r="J30" t="s">
        <v>37</v>
      </c>
    </row>
    <row r="31" spans="1:13" x14ac:dyDescent="0.25">
      <c r="A31" t="s">
        <v>43</v>
      </c>
      <c r="B31" t="s">
        <v>39</v>
      </c>
      <c r="C31" t="s">
        <v>36</v>
      </c>
      <c r="D31" t="s">
        <v>37</v>
      </c>
      <c r="E31" t="s">
        <v>38</v>
      </c>
      <c r="F31" t="s">
        <v>39</v>
      </c>
      <c r="G31" t="s">
        <v>36</v>
      </c>
      <c r="H31" t="s">
        <v>37</v>
      </c>
      <c r="I31" t="s">
        <v>38</v>
      </c>
      <c r="J31" t="s">
        <v>39</v>
      </c>
    </row>
    <row r="32" spans="1:13" x14ac:dyDescent="0.25">
      <c r="A32" t="s">
        <v>44</v>
      </c>
      <c r="C32" t="s">
        <v>45</v>
      </c>
      <c r="E32" t="s">
        <v>46</v>
      </c>
    </row>
    <row r="35" spans="1:6" x14ac:dyDescent="0.25">
      <c r="A35">
        <v>28</v>
      </c>
    </row>
    <row r="38" spans="1:6" x14ac:dyDescent="0.25">
      <c r="A38" t="s">
        <v>153</v>
      </c>
    </row>
    <row r="39" spans="1:6" x14ac:dyDescent="0.25">
      <c r="A39">
        <v>2</v>
      </c>
      <c r="C39" t="s">
        <v>30</v>
      </c>
      <c r="D39" t="s">
        <v>177</v>
      </c>
      <c r="E39" t="str">
        <f>A43</f>
        <v>Jerker Olin</v>
      </c>
      <c r="F39" t="str">
        <f>VLOOKUP(E39,C39:D42,2,0)</f>
        <v>+46 70 2448543</v>
      </c>
    </row>
    <row r="40" spans="1:6" x14ac:dyDescent="0.25">
      <c r="A40">
        <v>2</v>
      </c>
      <c r="C40" t="s">
        <v>32</v>
      </c>
      <c r="D40" t="s">
        <v>178</v>
      </c>
    </row>
    <row r="41" spans="1:6" x14ac:dyDescent="0.25">
      <c r="A41">
        <v>1</v>
      </c>
      <c r="C41" t="s">
        <v>33</v>
      </c>
      <c r="D41" t="s">
        <v>179</v>
      </c>
    </row>
    <row r="42" spans="1:6" x14ac:dyDescent="0.25">
      <c r="A42">
        <v>1</v>
      </c>
      <c r="C42" t="s">
        <v>34</v>
      </c>
      <c r="D42">
        <v>46709668040</v>
      </c>
    </row>
    <row r="43" spans="1:6" x14ac:dyDescent="0.25">
      <c r="A43" s="4" t="str" cm="1">
        <f t="array" ref="A43">FindBPositionNameBelowWeek(B2:M26)</f>
        <v>Jerker Olin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47515-B09A-4333-A03E-3F732DC538B0}">
  <sheetPr codeName="Sheet3"/>
  <dimension ref="A1:BA44"/>
  <sheetViews>
    <sheetView topLeftCell="A24" workbookViewId="0">
      <selection activeCell="A41" sqref="A41"/>
    </sheetView>
  </sheetViews>
  <sheetFormatPr defaultRowHeight="15" x14ac:dyDescent="0.25"/>
  <cols>
    <col min="1" max="1" width="31.140625" bestFit="1" customWidth="1"/>
    <col min="2" max="2" width="28.42578125" bestFit="1" customWidth="1"/>
    <col min="3" max="3" width="19.85546875" bestFit="1" customWidth="1"/>
    <col min="4" max="9" width="10.28515625" bestFit="1" customWidth="1"/>
    <col min="10" max="53" width="11.28515625" bestFit="1" customWidth="1"/>
  </cols>
  <sheetData>
    <row r="1" spans="1:53" x14ac:dyDescent="0.25">
      <c r="A1" t="s">
        <v>12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  <c r="P1" t="s">
        <v>28</v>
      </c>
      <c r="Q1" t="s">
        <v>29</v>
      </c>
      <c r="R1" t="s">
        <v>47</v>
      </c>
      <c r="S1" t="s">
        <v>48</v>
      </c>
      <c r="T1" t="s">
        <v>49</v>
      </c>
      <c r="U1" t="s">
        <v>50</v>
      </c>
      <c r="V1" t="s">
        <v>51</v>
      </c>
      <c r="W1" t="s">
        <v>52</v>
      </c>
      <c r="X1" t="s">
        <v>53</v>
      </c>
      <c r="Y1" t="s">
        <v>54</v>
      </c>
      <c r="Z1" t="s">
        <v>55</v>
      </c>
      <c r="AA1" t="s">
        <v>56</v>
      </c>
      <c r="AB1" t="s">
        <v>57</v>
      </c>
      <c r="AC1" t="s">
        <v>58</v>
      </c>
      <c r="AD1" t="s">
        <v>59</v>
      </c>
      <c r="AE1" t="s">
        <v>60</v>
      </c>
      <c r="AF1" t="s">
        <v>61</v>
      </c>
      <c r="AG1" t="s">
        <v>62</v>
      </c>
      <c r="AH1" t="s">
        <v>63</v>
      </c>
      <c r="AI1" t="s">
        <v>64</v>
      </c>
      <c r="AJ1" t="s">
        <v>65</v>
      </c>
      <c r="AK1" t="s">
        <v>66</v>
      </c>
      <c r="AL1" t="s">
        <v>67</v>
      </c>
      <c r="AM1" t="s">
        <v>68</v>
      </c>
      <c r="AN1" t="s">
        <v>69</v>
      </c>
      <c r="AO1" t="s">
        <v>70</v>
      </c>
      <c r="AP1" t="s">
        <v>71</v>
      </c>
      <c r="AQ1" t="s">
        <v>72</v>
      </c>
      <c r="AR1" t="s">
        <v>73</v>
      </c>
      <c r="AS1" t="s">
        <v>74</v>
      </c>
      <c r="AT1" t="s">
        <v>75</v>
      </c>
      <c r="AU1" t="s">
        <v>76</v>
      </c>
      <c r="AV1" t="s">
        <v>77</v>
      </c>
      <c r="AW1" t="s">
        <v>78</v>
      </c>
      <c r="AX1" t="s">
        <v>79</v>
      </c>
      <c r="AY1" t="s">
        <v>80</v>
      </c>
      <c r="AZ1" t="s">
        <v>81</v>
      </c>
      <c r="BA1" t="s">
        <v>82</v>
      </c>
    </row>
    <row r="2" spans="1:53" x14ac:dyDescent="0.25">
      <c r="A2">
        <v>2025</v>
      </c>
    </row>
    <row r="3" spans="1:53" x14ac:dyDescent="0.25">
      <c r="A3" t="s">
        <v>83</v>
      </c>
    </row>
    <row r="4" spans="1:53" x14ac:dyDescent="0.25">
      <c r="A4" t="s">
        <v>84</v>
      </c>
    </row>
    <row r="5" spans="1:53" x14ac:dyDescent="0.25">
      <c r="A5" t="s">
        <v>85</v>
      </c>
    </row>
    <row r="6" spans="1:53" x14ac:dyDescent="0.25">
      <c r="A6" t="s">
        <v>86</v>
      </c>
    </row>
    <row r="7" spans="1:53" x14ac:dyDescent="0.25">
      <c r="A7" t="s">
        <v>87</v>
      </c>
    </row>
    <row r="8" spans="1:53" x14ac:dyDescent="0.25">
      <c r="A8" t="s">
        <v>83</v>
      </c>
    </row>
    <row r="9" spans="1:53" x14ac:dyDescent="0.25">
      <c r="A9" t="s">
        <v>84</v>
      </c>
    </row>
    <row r="10" spans="1:53" x14ac:dyDescent="0.25">
      <c r="A10" t="s">
        <v>85</v>
      </c>
    </row>
    <row r="11" spans="1:53" x14ac:dyDescent="0.25">
      <c r="A11" t="s">
        <v>86</v>
      </c>
    </row>
    <row r="12" spans="1:53" x14ac:dyDescent="0.25">
      <c r="A12" t="s">
        <v>87</v>
      </c>
    </row>
    <row r="16" spans="1:53" x14ac:dyDescent="0.25">
      <c r="A16" t="s">
        <v>88</v>
      </c>
    </row>
    <row r="17" spans="1:53" x14ac:dyDescent="0.25">
      <c r="A17" t="s">
        <v>89</v>
      </c>
    </row>
    <row r="18" spans="1:53" x14ac:dyDescent="0.25">
      <c r="A18" t="s">
        <v>90</v>
      </c>
    </row>
    <row r="19" spans="1:53" x14ac:dyDescent="0.25">
      <c r="A19" t="s">
        <v>91</v>
      </c>
    </row>
    <row r="20" spans="1:53" x14ac:dyDescent="0.25">
      <c r="A20" t="s">
        <v>92</v>
      </c>
    </row>
    <row r="21" spans="1:53" x14ac:dyDescent="0.25">
      <c r="A21" t="s">
        <v>93</v>
      </c>
    </row>
    <row r="22" spans="1:53" x14ac:dyDescent="0.25">
      <c r="A22" t="s">
        <v>94</v>
      </c>
    </row>
    <row r="23" spans="1:53" x14ac:dyDescent="0.25">
      <c r="A23" t="s">
        <v>95</v>
      </c>
    </row>
    <row r="25" spans="1:53" x14ac:dyDescent="0.25">
      <c r="A25" t="s">
        <v>96</v>
      </c>
    </row>
    <row r="30" spans="1:53" x14ac:dyDescent="0.25">
      <c r="A30">
        <v>2025</v>
      </c>
      <c r="B30">
        <v>1</v>
      </c>
      <c r="C30">
        <v>2</v>
      </c>
      <c r="D30">
        <v>3</v>
      </c>
      <c r="E30">
        <v>4</v>
      </c>
      <c r="F30">
        <v>5</v>
      </c>
      <c r="G30">
        <v>6</v>
      </c>
      <c r="H30">
        <v>7</v>
      </c>
      <c r="I30">
        <v>8</v>
      </c>
      <c r="J30">
        <v>9</v>
      </c>
      <c r="K30">
        <v>10</v>
      </c>
      <c r="L30">
        <v>11</v>
      </c>
      <c r="M30">
        <v>12</v>
      </c>
      <c r="N30">
        <v>13</v>
      </c>
      <c r="O30">
        <v>14</v>
      </c>
      <c r="P30">
        <v>15</v>
      </c>
      <c r="Q30">
        <v>16</v>
      </c>
      <c r="R30">
        <v>17</v>
      </c>
      <c r="S30">
        <v>18</v>
      </c>
      <c r="T30">
        <v>19</v>
      </c>
      <c r="U30">
        <v>20</v>
      </c>
      <c r="V30">
        <v>21</v>
      </c>
      <c r="W30">
        <v>22</v>
      </c>
      <c r="X30">
        <v>23</v>
      </c>
      <c r="Y30">
        <v>24</v>
      </c>
      <c r="Z30">
        <v>25</v>
      </c>
      <c r="AA30">
        <v>26</v>
      </c>
      <c r="AB30">
        <v>27</v>
      </c>
      <c r="AC30">
        <v>28</v>
      </c>
      <c r="AD30">
        <v>29</v>
      </c>
      <c r="AE30">
        <v>30</v>
      </c>
      <c r="AF30">
        <v>31</v>
      </c>
      <c r="AG30">
        <v>32</v>
      </c>
      <c r="AH30">
        <v>33</v>
      </c>
      <c r="AI30">
        <v>34</v>
      </c>
      <c r="AJ30">
        <v>35</v>
      </c>
      <c r="AK30">
        <v>36</v>
      </c>
      <c r="AL30">
        <v>37</v>
      </c>
      <c r="AM30">
        <v>38</v>
      </c>
      <c r="AN30">
        <v>39</v>
      </c>
      <c r="AO30">
        <v>40</v>
      </c>
      <c r="AP30">
        <v>41</v>
      </c>
      <c r="AQ30">
        <v>42</v>
      </c>
      <c r="AR30">
        <v>43</v>
      </c>
      <c r="AS30">
        <v>44</v>
      </c>
      <c r="AT30">
        <v>45</v>
      </c>
      <c r="AU30">
        <v>46</v>
      </c>
      <c r="AV30">
        <v>47</v>
      </c>
      <c r="AW30">
        <v>48</v>
      </c>
      <c r="AX30">
        <v>49</v>
      </c>
      <c r="AY30">
        <v>50</v>
      </c>
      <c r="AZ30">
        <v>51</v>
      </c>
      <c r="BA30">
        <v>52</v>
      </c>
    </row>
    <row r="31" spans="1:53" x14ac:dyDescent="0.25">
      <c r="A31" t="s">
        <v>97</v>
      </c>
      <c r="E31" t="s">
        <v>98</v>
      </c>
      <c r="I31" t="s">
        <v>98</v>
      </c>
      <c r="J31" t="s">
        <v>99</v>
      </c>
      <c r="M31" t="s">
        <v>98</v>
      </c>
      <c r="Q31" t="s">
        <v>98</v>
      </c>
      <c r="U31" t="s">
        <v>98</v>
      </c>
      <c r="Y31" t="s">
        <v>98</v>
      </c>
      <c r="AC31" t="s">
        <v>98</v>
      </c>
      <c r="AG31" t="s">
        <v>98</v>
      </c>
      <c r="AK31" t="s">
        <v>98</v>
      </c>
      <c r="AO31" t="s">
        <v>98</v>
      </c>
      <c r="AS31" t="s">
        <v>98</v>
      </c>
      <c r="AW31" t="s">
        <v>98</v>
      </c>
      <c r="BA31" t="s">
        <v>98</v>
      </c>
    </row>
    <row r="32" spans="1:53" x14ac:dyDescent="0.25">
      <c r="A32" t="s">
        <v>100</v>
      </c>
      <c r="B32" t="s">
        <v>98</v>
      </c>
      <c r="D32" t="s">
        <v>83</v>
      </c>
      <c r="F32" t="s">
        <v>98</v>
      </c>
      <c r="H32" t="s">
        <v>83</v>
      </c>
      <c r="J32" t="s">
        <v>98</v>
      </c>
      <c r="L32" t="s">
        <v>83</v>
      </c>
      <c r="N32" t="s">
        <v>98</v>
      </c>
      <c r="P32" t="s">
        <v>83</v>
      </c>
      <c r="R32" t="s">
        <v>98</v>
      </c>
      <c r="T32" t="s">
        <v>83</v>
      </c>
      <c r="V32" t="s">
        <v>98</v>
      </c>
      <c r="X32" t="s">
        <v>83</v>
      </c>
      <c r="Z32" t="s">
        <v>98</v>
      </c>
      <c r="AB32" t="s">
        <v>83</v>
      </c>
      <c r="AD32" t="s">
        <v>98</v>
      </c>
      <c r="AF32" t="s">
        <v>83</v>
      </c>
      <c r="AI32" t="s">
        <v>98</v>
      </c>
      <c r="AJ32" t="s">
        <v>83</v>
      </c>
      <c r="AL32" t="s">
        <v>98</v>
      </c>
      <c r="AN32" t="s">
        <v>83</v>
      </c>
      <c r="AP32" t="s">
        <v>98</v>
      </c>
      <c r="AR32" t="s">
        <v>83</v>
      </c>
      <c r="AT32" t="s">
        <v>98</v>
      </c>
      <c r="AV32" t="s">
        <v>83</v>
      </c>
      <c r="AX32" t="s">
        <v>98</v>
      </c>
      <c r="AZ32" t="s">
        <v>83</v>
      </c>
    </row>
    <row r="33" spans="1:52" x14ac:dyDescent="0.25">
      <c r="A33" t="s">
        <v>86</v>
      </c>
      <c r="B33" t="s">
        <v>83</v>
      </c>
      <c r="C33" t="s">
        <v>98</v>
      </c>
      <c r="G33" t="s">
        <v>98</v>
      </c>
      <c r="K33" t="s">
        <v>98</v>
      </c>
      <c r="O33" t="s">
        <v>98</v>
      </c>
      <c r="S33" t="s">
        <v>98</v>
      </c>
      <c r="W33" t="s">
        <v>98</v>
      </c>
      <c r="AA33" t="s">
        <v>98</v>
      </c>
      <c r="AE33" t="s">
        <v>98</v>
      </c>
      <c r="AH33" t="s">
        <v>98</v>
      </c>
      <c r="AI33" t="s">
        <v>83</v>
      </c>
      <c r="AM33" t="s">
        <v>98</v>
      </c>
      <c r="AQ33" t="s">
        <v>98</v>
      </c>
      <c r="AU33" t="s">
        <v>98</v>
      </c>
      <c r="AY33" t="s">
        <v>98</v>
      </c>
    </row>
    <row r="34" spans="1:52" x14ac:dyDescent="0.25">
      <c r="A34" t="s">
        <v>101</v>
      </c>
      <c r="D34" t="s">
        <v>98</v>
      </c>
      <c r="H34" t="s">
        <v>98</v>
      </c>
      <c r="L34" t="s">
        <v>98</v>
      </c>
      <c r="P34" t="s">
        <v>98</v>
      </c>
      <c r="T34" t="s">
        <v>98</v>
      </c>
      <c r="X34" t="s">
        <v>98</v>
      </c>
      <c r="AB34" t="s">
        <v>98</v>
      </c>
      <c r="AF34" t="s">
        <v>98</v>
      </c>
      <c r="AJ34" t="s">
        <v>98</v>
      </c>
      <c r="AN34" t="s">
        <v>98</v>
      </c>
      <c r="AR34" t="s">
        <v>98</v>
      </c>
      <c r="AV34" t="s">
        <v>98</v>
      </c>
      <c r="AZ34" t="s">
        <v>98</v>
      </c>
    </row>
    <row r="35" spans="1:52" x14ac:dyDescent="0.25">
      <c r="A35" t="s">
        <v>84</v>
      </c>
    </row>
    <row r="36" spans="1:52" x14ac:dyDescent="0.25">
      <c r="A36" t="s">
        <v>102</v>
      </c>
    </row>
    <row r="40" spans="1:52" x14ac:dyDescent="0.25">
      <c r="A40" t="str" cm="1">
        <f t="array" aca="1" ref="A40" ca="1">FindOPositionBelowWeek(A30:BA30)</f>
        <v>IPOC</v>
      </c>
      <c r="B40" t="s">
        <v>171</v>
      </c>
      <c r="C40" t="s">
        <v>173</v>
      </c>
      <c r="D40" t="str">
        <f ca="1">A40</f>
        <v>IPOC</v>
      </c>
      <c r="E40" t="str">
        <f ca="1">VLOOKUP(D40,B40:C44,2,0)</f>
        <v>+46 10 207 04 04</v>
      </c>
    </row>
    <row r="41" spans="1:52" x14ac:dyDescent="0.25">
      <c r="B41" t="s">
        <v>172</v>
      </c>
      <c r="C41">
        <f>46706660349</f>
        <v>46706660349</v>
      </c>
    </row>
    <row r="42" spans="1:52" x14ac:dyDescent="0.25">
      <c r="B42" t="s">
        <v>176</v>
      </c>
      <c r="C42">
        <v>46706181667</v>
      </c>
    </row>
    <row r="43" spans="1:52" x14ac:dyDescent="0.25">
      <c r="B43" t="s">
        <v>175</v>
      </c>
      <c r="C43" s="60">
        <v>393492700423</v>
      </c>
    </row>
    <row r="44" spans="1:52" x14ac:dyDescent="0.25">
      <c r="B44" t="s">
        <v>174</v>
      </c>
      <c r="C44">
        <v>46705938641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7229A-22DE-478A-81BE-CBAF8F3920CF}">
  <sheetPr codeName="Sheet4"/>
  <dimension ref="A1:T43"/>
  <sheetViews>
    <sheetView topLeftCell="A30" workbookViewId="0">
      <selection activeCell="A44" sqref="A44"/>
    </sheetView>
  </sheetViews>
  <sheetFormatPr defaultRowHeight="15" x14ac:dyDescent="0.25"/>
  <cols>
    <col min="1" max="1" width="45.7109375" bestFit="1" customWidth="1"/>
    <col min="2" max="3" width="10.5703125" bestFit="1" customWidth="1"/>
    <col min="4" max="4" width="13.42578125" bestFit="1" customWidth="1"/>
    <col min="5" max="5" width="10.5703125" bestFit="1" customWidth="1"/>
    <col min="6" max="6" width="12" bestFit="1" customWidth="1"/>
    <col min="7" max="9" width="10.5703125" bestFit="1" customWidth="1"/>
    <col min="10" max="11" width="11.5703125" bestFit="1" customWidth="1"/>
    <col min="12" max="12" width="17.7109375" bestFit="1" customWidth="1"/>
    <col min="13" max="13" width="11.5703125" bestFit="1" customWidth="1"/>
    <col min="14" max="14" width="14.140625" bestFit="1" customWidth="1"/>
    <col min="15" max="20" width="11.5703125" bestFit="1" customWidth="1"/>
  </cols>
  <sheetData>
    <row r="1" spans="1:20" x14ac:dyDescent="0.25">
      <c r="A1" t="s">
        <v>12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  <c r="P1" t="s">
        <v>28</v>
      </c>
      <c r="Q1" t="s">
        <v>29</v>
      </c>
      <c r="R1" t="s">
        <v>47</v>
      </c>
      <c r="S1" t="s">
        <v>48</v>
      </c>
      <c r="T1" t="s">
        <v>49</v>
      </c>
    </row>
    <row r="2" spans="1:20" x14ac:dyDescent="0.25">
      <c r="A2" t="s">
        <v>103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</row>
    <row r="3" spans="1:20" x14ac:dyDescent="0.25">
      <c r="A3" t="s">
        <v>104</v>
      </c>
      <c r="B3" t="s">
        <v>105</v>
      </c>
      <c r="C3" t="s">
        <v>105</v>
      </c>
      <c r="D3" t="s">
        <v>105</v>
      </c>
      <c r="E3" t="s">
        <v>106</v>
      </c>
      <c r="F3" t="s">
        <v>105</v>
      </c>
      <c r="G3" t="s">
        <v>105</v>
      </c>
      <c r="H3" t="s">
        <v>106</v>
      </c>
      <c r="I3" t="s">
        <v>105</v>
      </c>
      <c r="J3" t="s">
        <v>105</v>
      </c>
      <c r="K3" t="s">
        <v>105</v>
      </c>
      <c r="L3" t="s">
        <v>106</v>
      </c>
      <c r="M3" t="s">
        <v>105</v>
      </c>
      <c r="N3" t="s">
        <v>105</v>
      </c>
      <c r="O3" t="s">
        <v>105</v>
      </c>
      <c r="P3" t="s">
        <v>106</v>
      </c>
      <c r="Q3" t="s">
        <v>105</v>
      </c>
      <c r="R3" t="s">
        <v>105</v>
      </c>
    </row>
    <row r="4" spans="1:20" x14ac:dyDescent="0.25">
      <c r="A4" t="s">
        <v>107</v>
      </c>
      <c r="B4" t="s">
        <v>105</v>
      </c>
      <c r="C4" t="s">
        <v>108</v>
      </c>
      <c r="D4" t="s">
        <v>105</v>
      </c>
      <c r="E4" t="s">
        <v>105</v>
      </c>
      <c r="F4" t="s">
        <v>105</v>
      </c>
      <c r="G4" t="s">
        <v>108</v>
      </c>
      <c r="H4" t="s">
        <v>105</v>
      </c>
      <c r="I4" t="s">
        <v>105</v>
      </c>
      <c r="J4" t="s">
        <v>105</v>
      </c>
      <c r="K4" t="s">
        <v>108</v>
      </c>
      <c r="L4" t="s">
        <v>105</v>
      </c>
      <c r="M4" t="s">
        <v>105</v>
      </c>
      <c r="N4" t="s">
        <v>105</v>
      </c>
      <c r="O4" t="s">
        <v>108</v>
      </c>
      <c r="P4" t="s">
        <v>105</v>
      </c>
      <c r="Q4" t="s">
        <v>105</v>
      </c>
      <c r="R4" t="s">
        <v>105</v>
      </c>
    </row>
    <row r="5" spans="1:20" x14ac:dyDescent="0.25">
      <c r="A5" t="s">
        <v>109</v>
      </c>
      <c r="B5" t="s">
        <v>110</v>
      </c>
      <c r="C5" t="s">
        <v>105</v>
      </c>
      <c r="D5" t="s">
        <v>105</v>
      </c>
      <c r="E5" t="s">
        <v>105</v>
      </c>
      <c r="F5" t="s">
        <v>110</v>
      </c>
      <c r="G5" t="s">
        <v>105</v>
      </c>
      <c r="H5" t="s">
        <v>105</v>
      </c>
      <c r="I5" t="s">
        <v>105</v>
      </c>
      <c r="J5" t="s">
        <v>110</v>
      </c>
      <c r="K5" t="s">
        <v>105</v>
      </c>
      <c r="L5" t="s">
        <v>105</v>
      </c>
      <c r="M5" t="s">
        <v>105</v>
      </c>
      <c r="N5" t="s">
        <v>110</v>
      </c>
      <c r="O5" t="s">
        <v>105</v>
      </c>
      <c r="P5" t="s">
        <v>105</v>
      </c>
      <c r="Q5" t="s">
        <v>110</v>
      </c>
      <c r="R5" t="s">
        <v>105</v>
      </c>
    </row>
    <row r="6" spans="1:20" x14ac:dyDescent="0.25">
      <c r="A6" t="s">
        <v>111</v>
      </c>
      <c r="B6" t="s">
        <v>105</v>
      </c>
      <c r="C6" t="s">
        <v>105</v>
      </c>
      <c r="D6" t="s">
        <v>112</v>
      </c>
      <c r="E6" t="s">
        <v>105</v>
      </c>
      <c r="F6" t="s">
        <v>105</v>
      </c>
      <c r="G6" t="s">
        <v>105</v>
      </c>
      <c r="H6" t="s">
        <v>105</v>
      </c>
      <c r="I6" t="s">
        <v>112</v>
      </c>
      <c r="J6" t="s">
        <v>105</v>
      </c>
      <c r="K6" t="s">
        <v>105</v>
      </c>
      <c r="L6" t="s">
        <v>105</v>
      </c>
      <c r="M6" t="s">
        <v>112</v>
      </c>
      <c r="N6" t="s">
        <v>105</v>
      </c>
      <c r="O6" t="s">
        <v>105</v>
      </c>
      <c r="P6" t="s">
        <v>105</v>
      </c>
      <c r="Q6" t="s">
        <v>105</v>
      </c>
      <c r="R6" t="s">
        <v>112</v>
      </c>
    </row>
    <row r="7" spans="1:20" x14ac:dyDescent="0.25">
      <c r="A7" t="s">
        <v>113</v>
      </c>
      <c r="B7" t="s">
        <v>105</v>
      </c>
      <c r="C7" t="s">
        <v>105</v>
      </c>
      <c r="D7" t="s">
        <v>105</v>
      </c>
      <c r="E7" t="s">
        <v>105</v>
      </c>
      <c r="F7" t="s">
        <v>105</v>
      </c>
      <c r="G7" t="s">
        <v>105</v>
      </c>
      <c r="H7" t="s">
        <v>105</v>
      </c>
      <c r="I7" t="s">
        <v>105</v>
      </c>
      <c r="J7" t="s">
        <v>105</v>
      </c>
      <c r="K7" t="s">
        <v>105</v>
      </c>
      <c r="L7" t="s">
        <v>105</v>
      </c>
      <c r="M7" t="s">
        <v>105</v>
      </c>
      <c r="N7" t="s">
        <v>105</v>
      </c>
      <c r="O7" t="s">
        <v>105</v>
      </c>
      <c r="P7" t="s">
        <v>105</v>
      </c>
      <c r="Q7" t="s">
        <v>105</v>
      </c>
      <c r="R7" t="s">
        <v>105</v>
      </c>
    </row>
    <row r="8" spans="1:20" x14ac:dyDescent="0.25">
      <c r="A8" t="s">
        <v>103</v>
      </c>
      <c r="B8">
        <v>18</v>
      </c>
      <c r="C8">
        <v>19</v>
      </c>
      <c r="D8">
        <v>20</v>
      </c>
      <c r="E8">
        <v>21</v>
      </c>
      <c r="F8">
        <v>22</v>
      </c>
      <c r="G8">
        <v>23</v>
      </c>
      <c r="H8">
        <v>24</v>
      </c>
      <c r="I8">
        <v>25</v>
      </c>
      <c r="J8">
        <v>26</v>
      </c>
      <c r="K8">
        <v>27</v>
      </c>
      <c r="L8">
        <v>28</v>
      </c>
      <c r="M8">
        <v>29</v>
      </c>
      <c r="N8">
        <v>30</v>
      </c>
      <c r="O8">
        <v>31</v>
      </c>
      <c r="P8">
        <v>32</v>
      </c>
      <c r="Q8">
        <v>33</v>
      </c>
      <c r="R8">
        <v>34</v>
      </c>
    </row>
    <row r="9" spans="1:20" x14ac:dyDescent="0.25">
      <c r="A9" t="s">
        <v>104</v>
      </c>
      <c r="B9" t="s">
        <v>105</v>
      </c>
      <c r="C9" t="s">
        <v>105</v>
      </c>
      <c r="D9" t="s">
        <v>105</v>
      </c>
      <c r="E9" t="s">
        <v>105</v>
      </c>
      <c r="F9" t="s">
        <v>106</v>
      </c>
      <c r="G9" t="s">
        <v>105</v>
      </c>
      <c r="H9" t="s">
        <v>105</v>
      </c>
      <c r="I9" t="s">
        <v>105</v>
      </c>
      <c r="J9" t="s">
        <v>106</v>
      </c>
      <c r="K9" t="s">
        <v>105</v>
      </c>
      <c r="L9" t="s">
        <v>106</v>
      </c>
      <c r="M9" t="s">
        <v>105</v>
      </c>
      <c r="N9" t="s">
        <v>105</v>
      </c>
      <c r="O9" t="s">
        <v>106</v>
      </c>
      <c r="P9" t="s">
        <v>105</v>
      </c>
      <c r="Q9" t="s">
        <v>105</v>
      </c>
      <c r="R9" t="s">
        <v>106</v>
      </c>
    </row>
    <row r="10" spans="1:20" x14ac:dyDescent="0.25">
      <c r="A10" t="s">
        <v>107</v>
      </c>
      <c r="B10" t="s">
        <v>108</v>
      </c>
      <c r="C10" t="s">
        <v>105</v>
      </c>
      <c r="D10" t="s">
        <v>105</v>
      </c>
      <c r="E10" t="s">
        <v>108</v>
      </c>
      <c r="F10" t="s">
        <v>105</v>
      </c>
      <c r="G10" t="s">
        <v>105</v>
      </c>
      <c r="H10" t="s">
        <v>105</v>
      </c>
      <c r="I10" t="s">
        <v>108</v>
      </c>
      <c r="J10" t="s">
        <v>105</v>
      </c>
      <c r="K10" t="s">
        <v>105</v>
      </c>
      <c r="L10" t="s">
        <v>105</v>
      </c>
      <c r="M10" t="s">
        <v>105</v>
      </c>
      <c r="N10" t="s">
        <v>105</v>
      </c>
      <c r="O10" t="s">
        <v>105</v>
      </c>
      <c r="P10" t="s">
        <v>105</v>
      </c>
      <c r="Q10" t="s">
        <v>108</v>
      </c>
      <c r="R10" t="s">
        <v>105</v>
      </c>
    </row>
    <row r="11" spans="1:20" x14ac:dyDescent="0.25">
      <c r="A11" t="s">
        <v>109</v>
      </c>
      <c r="B11" t="s">
        <v>105</v>
      </c>
      <c r="C11" t="s">
        <v>105</v>
      </c>
      <c r="D11" t="s">
        <v>110</v>
      </c>
      <c r="E11" t="s">
        <v>105</v>
      </c>
      <c r="F11" t="s">
        <v>105</v>
      </c>
      <c r="G11" t="s">
        <v>105</v>
      </c>
      <c r="H11" t="s">
        <v>110</v>
      </c>
      <c r="I11" t="s">
        <v>105</v>
      </c>
      <c r="J11" t="s">
        <v>105</v>
      </c>
      <c r="K11" t="s">
        <v>105</v>
      </c>
      <c r="L11" t="s">
        <v>105</v>
      </c>
      <c r="M11" t="s">
        <v>105</v>
      </c>
      <c r="N11" t="s">
        <v>110</v>
      </c>
      <c r="O11" t="s">
        <v>105</v>
      </c>
      <c r="P11" t="s">
        <v>110</v>
      </c>
      <c r="Q11" t="s">
        <v>105</v>
      </c>
      <c r="R11" t="s">
        <v>105</v>
      </c>
    </row>
    <row r="12" spans="1:20" x14ac:dyDescent="0.25">
      <c r="A12" t="s">
        <v>111</v>
      </c>
      <c r="B12" t="s">
        <v>105</v>
      </c>
      <c r="C12" t="s">
        <v>112</v>
      </c>
      <c r="D12" t="s">
        <v>105</v>
      </c>
      <c r="E12" t="s">
        <v>105</v>
      </c>
      <c r="F12" t="s">
        <v>105</v>
      </c>
      <c r="G12" t="s">
        <v>112</v>
      </c>
      <c r="H12" t="s">
        <v>105</v>
      </c>
      <c r="I12" t="s">
        <v>105</v>
      </c>
      <c r="J12" t="s">
        <v>105</v>
      </c>
      <c r="K12" t="s">
        <v>112</v>
      </c>
      <c r="L12" t="s">
        <v>105</v>
      </c>
      <c r="M12" t="s">
        <v>112</v>
      </c>
      <c r="N12" t="s">
        <v>105</v>
      </c>
      <c r="O12" t="s">
        <v>105</v>
      </c>
      <c r="P12" t="s">
        <v>105</v>
      </c>
      <c r="Q12" t="s">
        <v>105</v>
      </c>
      <c r="R12" t="s">
        <v>105</v>
      </c>
    </row>
    <row r="13" spans="1:20" x14ac:dyDescent="0.25">
      <c r="A13" t="s">
        <v>113</v>
      </c>
      <c r="B13" t="s">
        <v>105</v>
      </c>
      <c r="C13" t="s">
        <v>105</v>
      </c>
      <c r="D13" t="s">
        <v>105</v>
      </c>
      <c r="E13" t="s">
        <v>105</v>
      </c>
      <c r="F13" t="s">
        <v>105</v>
      </c>
      <c r="G13" t="s">
        <v>105</v>
      </c>
      <c r="H13" t="s">
        <v>105</v>
      </c>
      <c r="I13" t="s">
        <v>105</v>
      </c>
      <c r="J13" t="s">
        <v>105</v>
      </c>
      <c r="K13" t="s">
        <v>105</v>
      </c>
      <c r="L13" t="s">
        <v>105</v>
      </c>
      <c r="M13" t="s">
        <v>105</v>
      </c>
      <c r="N13" t="s">
        <v>105</v>
      </c>
      <c r="O13" t="s">
        <v>105</v>
      </c>
      <c r="P13" t="s">
        <v>105</v>
      </c>
      <c r="Q13" t="s">
        <v>105</v>
      </c>
      <c r="R13" t="s">
        <v>105</v>
      </c>
    </row>
    <row r="14" spans="1:20" x14ac:dyDescent="0.25">
      <c r="A14" t="s">
        <v>103</v>
      </c>
      <c r="B14">
        <v>35</v>
      </c>
      <c r="C14">
        <v>36</v>
      </c>
      <c r="D14">
        <v>37</v>
      </c>
      <c r="E14">
        <v>38</v>
      </c>
      <c r="F14">
        <v>39</v>
      </c>
      <c r="G14">
        <v>40</v>
      </c>
      <c r="H14">
        <v>41</v>
      </c>
      <c r="I14">
        <v>42</v>
      </c>
      <c r="J14">
        <v>43</v>
      </c>
      <c r="K14">
        <v>44</v>
      </c>
      <c r="L14">
        <v>45</v>
      </c>
      <c r="M14">
        <v>46</v>
      </c>
      <c r="N14">
        <v>47</v>
      </c>
      <c r="O14">
        <v>48</v>
      </c>
      <c r="P14">
        <v>49</v>
      </c>
      <c r="Q14">
        <v>50</v>
      </c>
      <c r="R14">
        <v>51</v>
      </c>
      <c r="S14">
        <v>52</v>
      </c>
      <c r="T14" t="s">
        <v>114</v>
      </c>
    </row>
    <row r="15" spans="1:20" x14ac:dyDescent="0.25">
      <c r="A15" t="s">
        <v>104</v>
      </c>
      <c r="B15" t="s">
        <v>105</v>
      </c>
      <c r="C15" t="s">
        <v>105</v>
      </c>
      <c r="D15" t="s">
        <v>105</v>
      </c>
      <c r="E15" t="s">
        <v>106</v>
      </c>
      <c r="F15" t="s">
        <v>105</v>
      </c>
      <c r="G15" t="s">
        <v>105</v>
      </c>
      <c r="H15" t="s">
        <v>105</v>
      </c>
      <c r="I15" t="s">
        <v>106</v>
      </c>
      <c r="J15" t="s">
        <v>105</v>
      </c>
      <c r="K15" t="s">
        <v>105</v>
      </c>
      <c r="L15" t="s">
        <v>105</v>
      </c>
      <c r="M15" t="s">
        <v>106</v>
      </c>
      <c r="N15" t="s">
        <v>105</v>
      </c>
      <c r="O15" t="s">
        <v>105</v>
      </c>
      <c r="P15" t="s">
        <v>105</v>
      </c>
      <c r="Q15" t="s">
        <v>106</v>
      </c>
      <c r="R15" t="s">
        <v>105</v>
      </c>
      <c r="S15" t="s">
        <v>105</v>
      </c>
      <c r="T15" t="s">
        <v>106</v>
      </c>
    </row>
    <row r="16" spans="1:20" x14ac:dyDescent="0.25">
      <c r="A16" t="s">
        <v>107</v>
      </c>
      <c r="B16" t="s">
        <v>105</v>
      </c>
      <c r="C16" t="s">
        <v>105</v>
      </c>
      <c r="D16" t="s">
        <v>108</v>
      </c>
      <c r="E16" t="s">
        <v>105</v>
      </c>
      <c r="F16" t="s">
        <v>105</v>
      </c>
      <c r="G16" t="s">
        <v>105</v>
      </c>
      <c r="H16" t="s">
        <v>108</v>
      </c>
      <c r="I16" t="s">
        <v>105</v>
      </c>
      <c r="J16" t="s">
        <v>105</v>
      </c>
      <c r="K16" t="s">
        <v>105</v>
      </c>
      <c r="L16" t="s">
        <v>108</v>
      </c>
      <c r="M16" t="s">
        <v>105</v>
      </c>
      <c r="N16" t="s">
        <v>105</v>
      </c>
      <c r="O16" t="s">
        <v>105</v>
      </c>
      <c r="P16" t="s">
        <v>108</v>
      </c>
      <c r="Q16" t="s">
        <v>105</v>
      </c>
      <c r="R16" t="s">
        <v>105</v>
      </c>
      <c r="S16" t="s">
        <v>105</v>
      </c>
      <c r="T16" t="s">
        <v>105</v>
      </c>
    </row>
    <row r="17" spans="1:20" x14ac:dyDescent="0.25">
      <c r="A17" t="s">
        <v>109</v>
      </c>
      <c r="B17" t="s">
        <v>105</v>
      </c>
      <c r="C17" t="s">
        <v>110</v>
      </c>
      <c r="D17" t="s">
        <v>105</v>
      </c>
      <c r="E17" t="s">
        <v>105</v>
      </c>
      <c r="F17" t="s">
        <v>105</v>
      </c>
      <c r="G17" t="s">
        <v>110</v>
      </c>
      <c r="H17" t="s">
        <v>105</v>
      </c>
      <c r="I17" t="s">
        <v>105</v>
      </c>
      <c r="J17" t="s">
        <v>105</v>
      </c>
      <c r="K17" t="s">
        <v>110</v>
      </c>
      <c r="L17" t="s">
        <v>105</v>
      </c>
      <c r="M17" t="s">
        <v>105</v>
      </c>
      <c r="N17" t="s">
        <v>105</v>
      </c>
      <c r="O17" t="s">
        <v>110</v>
      </c>
      <c r="P17" t="s">
        <v>105</v>
      </c>
      <c r="Q17" t="s">
        <v>105</v>
      </c>
      <c r="R17" t="s">
        <v>110</v>
      </c>
      <c r="S17" t="s">
        <v>105</v>
      </c>
      <c r="T17" t="s">
        <v>105</v>
      </c>
    </row>
    <row r="18" spans="1:20" x14ac:dyDescent="0.25">
      <c r="A18" t="s">
        <v>111</v>
      </c>
      <c r="B18" t="s">
        <v>112</v>
      </c>
      <c r="C18" t="s">
        <v>105</v>
      </c>
      <c r="D18" t="s">
        <v>105</v>
      </c>
      <c r="E18" t="s">
        <v>105</v>
      </c>
      <c r="F18" t="s">
        <v>112</v>
      </c>
      <c r="G18" t="s">
        <v>105</v>
      </c>
      <c r="H18" t="s">
        <v>105</v>
      </c>
      <c r="I18" t="s">
        <v>105</v>
      </c>
      <c r="J18" t="s">
        <v>112</v>
      </c>
      <c r="K18" t="s">
        <v>105</v>
      </c>
      <c r="L18" t="s">
        <v>105</v>
      </c>
      <c r="M18" t="s">
        <v>105</v>
      </c>
      <c r="N18" t="s">
        <v>112</v>
      </c>
      <c r="O18" t="s">
        <v>105</v>
      </c>
      <c r="P18" t="s">
        <v>105</v>
      </c>
      <c r="Q18" t="s">
        <v>105</v>
      </c>
      <c r="R18" t="s">
        <v>105</v>
      </c>
      <c r="S18" t="s">
        <v>112</v>
      </c>
      <c r="T18" t="s">
        <v>105</v>
      </c>
    </row>
    <row r="19" spans="1:20" x14ac:dyDescent="0.25">
      <c r="A19" t="s">
        <v>113</v>
      </c>
      <c r="B19" t="s">
        <v>105</v>
      </c>
      <c r="C19" t="s">
        <v>105</v>
      </c>
      <c r="D19" t="s">
        <v>105</v>
      </c>
      <c r="E19" t="s">
        <v>105</v>
      </c>
      <c r="F19" t="s">
        <v>105</v>
      </c>
      <c r="G19" t="s">
        <v>105</v>
      </c>
      <c r="H19" t="s">
        <v>105</v>
      </c>
      <c r="I19" t="s">
        <v>105</v>
      </c>
      <c r="J19" t="s">
        <v>105</v>
      </c>
      <c r="K19" t="s">
        <v>105</v>
      </c>
      <c r="L19" t="s">
        <v>105</v>
      </c>
      <c r="M19" t="s">
        <v>105</v>
      </c>
      <c r="N19" t="s">
        <v>105</v>
      </c>
      <c r="O19" t="s">
        <v>105</v>
      </c>
      <c r="P19" t="s">
        <v>105</v>
      </c>
      <c r="Q19" t="s">
        <v>105</v>
      </c>
      <c r="R19" t="s">
        <v>105</v>
      </c>
      <c r="S19" t="s">
        <v>105</v>
      </c>
      <c r="T19" t="s">
        <v>105</v>
      </c>
    </row>
    <row r="20" spans="1:20" x14ac:dyDescent="0.25">
      <c r="A20" t="s">
        <v>115</v>
      </c>
      <c r="B20" t="s">
        <v>116</v>
      </c>
      <c r="F20" t="s">
        <v>103</v>
      </c>
      <c r="G20" t="s">
        <v>117</v>
      </c>
      <c r="H20" t="s">
        <v>118</v>
      </c>
      <c r="I20" t="s">
        <v>119</v>
      </c>
      <c r="L20" t="s">
        <v>109</v>
      </c>
      <c r="N20" t="s">
        <v>120</v>
      </c>
    </row>
    <row r="21" spans="1:20" x14ac:dyDescent="0.25">
      <c r="E21" t="s">
        <v>42</v>
      </c>
      <c r="F21" t="s">
        <v>110</v>
      </c>
      <c r="G21" t="s">
        <v>106</v>
      </c>
      <c r="H21" t="s">
        <v>112</v>
      </c>
      <c r="I21" t="s">
        <v>108</v>
      </c>
      <c r="L21" t="s">
        <v>104</v>
      </c>
      <c r="N21" t="s">
        <v>120</v>
      </c>
    </row>
    <row r="22" spans="1:20" x14ac:dyDescent="0.25">
      <c r="A22" t="s">
        <v>121</v>
      </c>
      <c r="E22" t="s">
        <v>122</v>
      </c>
      <c r="F22" t="s">
        <v>108</v>
      </c>
      <c r="G22" t="s">
        <v>110</v>
      </c>
      <c r="H22" t="s">
        <v>106</v>
      </c>
      <c r="I22" t="s">
        <v>112</v>
      </c>
      <c r="L22" t="s">
        <v>111</v>
      </c>
      <c r="N22" t="s">
        <v>120</v>
      </c>
    </row>
    <row r="23" spans="1:20" x14ac:dyDescent="0.25">
      <c r="E23" t="s">
        <v>123</v>
      </c>
      <c r="F23" t="s">
        <v>112</v>
      </c>
      <c r="G23" t="s">
        <v>108</v>
      </c>
      <c r="H23" t="s">
        <v>110</v>
      </c>
      <c r="I23" t="s">
        <v>106</v>
      </c>
      <c r="L23" t="s">
        <v>113</v>
      </c>
      <c r="N23" t="s">
        <v>124</v>
      </c>
    </row>
    <row r="24" spans="1:20" x14ac:dyDescent="0.25">
      <c r="E24" t="s">
        <v>125</v>
      </c>
      <c r="F24" t="s">
        <v>106</v>
      </c>
      <c r="G24" t="s">
        <v>112</v>
      </c>
      <c r="H24" t="s">
        <v>108</v>
      </c>
      <c r="I24" t="s">
        <v>110</v>
      </c>
      <c r="L24" t="s">
        <v>107</v>
      </c>
      <c r="N24" t="s">
        <v>120</v>
      </c>
    </row>
    <row r="27" spans="1:20" x14ac:dyDescent="0.25">
      <c r="C27" t="str">
        <f>RIGHT(B2, LEN(B2)-1)</f>
        <v/>
      </c>
    </row>
    <row r="37" spans="1:6" x14ac:dyDescent="0.25">
      <c r="A37">
        <f ca="1">WEEKNUM(TODAY(),2)</f>
        <v>28</v>
      </c>
    </row>
    <row r="38" spans="1:6" x14ac:dyDescent="0.25">
      <c r="C38" s="54" t="s">
        <v>104</v>
      </c>
      <c r="D38" s="60">
        <v>46706310454</v>
      </c>
      <c r="E38" t="str">
        <f ca="1">A43</f>
        <v>Hans-Göran Karlsson</v>
      </c>
      <c r="F38">
        <f ca="1">VLOOKUP(E38,C38:D42,2,0)</f>
        <v>46706310454</v>
      </c>
    </row>
    <row r="39" spans="1:6" x14ac:dyDescent="0.25">
      <c r="C39" s="55" t="s">
        <v>107</v>
      </c>
      <c r="D39" t="s">
        <v>180</v>
      </c>
      <c r="F39" s="58"/>
    </row>
    <row r="40" spans="1:6" x14ac:dyDescent="0.25">
      <c r="C40" s="54" t="s">
        <v>109</v>
      </c>
      <c r="D40" s="58">
        <v>46721777129</v>
      </c>
    </row>
    <row r="41" spans="1:6" x14ac:dyDescent="0.25">
      <c r="C41" s="55" t="s">
        <v>111</v>
      </c>
      <c r="D41">
        <v>46708577421</v>
      </c>
    </row>
    <row r="42" spans="1:6" x14ac:dyDescent="0.25">
      <c r="C42" s="54" t="s">
        <v>113</v>
      </c>
      <c r="D42" t="s">
        <v>124</v>
      </c>
    </row>
    <row r="43" spans="1:6" x14ac:dyDescent="0.25">
      <c r="A43" t="str" cm="1">
        <f t="array" aca="1" ref="A43" ca="1">FindPositionBelowWeek(B2:S19)</f>
        <v>Hans-Göran Karlsson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F2759-20CE-4390-9559-1FFC9E76BE2A}">
  <sheetPr codeName="Sheet5"/>
  <dimension ref="A1:E13"/>
  <sheetViews>
    <sheetView workbookViewId="0">
      <selection activeCell="A2" sqref="A2"/>
    </sheetView>
  </sheetViews>
  <sheetFormatPr defaultRowHeight="15" x14ac:dyDescent="0.25"/>
  <cols>
    <col min="1" max="1" width="11.85546875" bestFit="1" customWidth="1"/>
    <col min="2" max="2" width="20.42578125" bestFit="1" customWidth="1"/>
    <col min="3" max="3" width="14.140625" bestFit="1" customWidth="1"/>
  </cols>
  <sheetData>
    <row r="1" spans="1:5" x14ac:dyDescent="0.25">
      <c r="A1">
        <f>OnCall!I8</f>
        <v>0</v>
      </c>
    </row>
    <row r="6" spans="1:5" x14ac:dyDescent="0.25">
      <c r="B6" t="s">
        <v>182</v>
      </c>
      <c r="C6" t="s">
        <v>183</v>
      </c>
    </row>
    <row r="7" spans="1:5" x14ac:dyDescent="0.25">
      <c r="B7" t="s">
        <v>186</v>
      </c>
      <c r="C7" s="60">
        <v>8618116291977</v>
      </c>
      <c r="D7">
        <f>A1</f>
        <v>0</v>
      </c>
      <c r="E7" t="e">
        <f>VLOOKUP(D7,B:C,2,0)</f>
        <v>#N/A</v>
      </c>
    </row>
    <row r="8" spans="1:5" x14ac:dyDescent="0.25">
      <c r="B8" t="s">
        <v>185</v>
      </c>
      <c r="C8">
        <v>61400669581</v>
      </c>
    </row>
    <row r="9" spans="1:5" x14ac:dyDescent="0.25">
      <c r="B9" t="s">
        <v>187</v>
      </c>
      <c r="C9" s="60">
        <v>447350433012</v>
      </c>
    </row>
    <row r="10" spans="1:5" x14ac:dyDescent="0.25">
      <c r="B10" t="s">
        <v>188</v>
      </c>
      <c r="C10">
        <v>46708997773</v>
      </c>
    </row>
    <row r="11" spans="1:5" x14ac:dyDescent="0.25">
      <c r="B11" t="s">
        <v>189</v>
      </c>
      <c r="C11" s="60">
        <v>917486028299</v>
      </c>
    </row>
    <row r="12" spans="1:5" x14ac:dyDescent="0.25">
      <c r="B12" t="s">
        <v>191</v>
      </c>
      <c r="C12">
        <v>14794811800</v>
      </c>
    </row>
    <row r="13" spans="1:5" x14ac:dyDescent="0.25">
      <c r="B13" t="s">
        <v>190</v>
      </c>
      <c r="C13">
        <v>12232210686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C7857-E04B-4823-95AF-F53C9C8D0689}">
  <sheetPr codeName="Sheet6"/>
  <dimension ref="A1:E10"/>
  <sheetViews>
    <sheetView workbookViewId="0">
      <selection activeCell="C10" sqref="C10"/>
    </sheetView>
  </sheetViews>
  <sheetFormatPr defaultRowHeight="15" x14ac:dyDescent="0.25"/>
  <cols>
    <col min="2" max="2" width="15.140625" bestFit="1" customWidth="1"/>
    <col min="3" max="3" width="13.42578125" bestFit="1" customWidth="1"/>
  </cols>
  <sheetData>
    <row r="1" spans="1:5" x14ac:dyDescent="0.25">
      <c r="A1" t="str">
        <f>OnCall!J8</f>
        <v>eric sanders</v>
      </c>
    </row>
    <row r="6" spans="1:5" x14ac:dyDescent="0.25">
      <c r="B6" t="s">
        <v>182</v>
      </c>
      <c r="C6" t="s">
        <v>183</v>
      </c>
    </row>
    <row r="7" spans="1:5" x14ac:dyDescent="0.25">
      <c r="B7" t="s">
        <v>192</v>
      </c>
      <c r="C7" s="58">
        <v>19194109504</v>
      </c>
      <c r="D7" t="str">
        <f>A1</f>
        <v>eric sanders</v>
      </c>
      <c r="E7">
        <f>VLOOKUP(D7,B:C,2,0)</f>
        <v>19142813751</v>
      </c>
    </row>
    <row r="8" spans="1:5" x14ac:dyDescent="0.25">
      <c r="B8" t="s">
        <v>193</v>
      </c>
      <c r="C8" t="s">
        <v>196</v>
      </c>
    </row>
    <row r="9" spans="1:5" x14ac:dyDescent="0.25">
      <c r="B9" t="s">
        <v>194</v>
      </c>
      <c r="C9" t="s">
        <v>197</v>
      </c>
    </row>
    <row r="10" spans="1:5" x14ac:dyDescent="0.25">
      <c r="B10" t="s">
        <v>195</v>
      </c>
      <c r="C10">
        <v>19142813751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62BBF-5F51-40B7-A5B8-338D0949299B}">
  <sheetPr codeName="Sheet7"/>
  <dimension ref="A2:BG26"/>
  <sheetViews>
    <sheetView workbookViewId="0">
      <selection activeCell="A18" sqref="A18"/>
    </sheetView>
  </sheetViews>
  <sheetFormatPr defaultColWidth="9.140625" defaultRowHeight="11.25" x14ac:dyDescent="0.2"/>
  <cols>
    <col min="1" max="1" width="12.5703125" style="5" customWidth="1"/>
    <col min="2" max="2" width="18.7109375" style="5" customWidth="1"/>
    <col min="3" max="3" width="12.42578125" style="5" customWidth="1"/>
    <col min="4" max="4" width="14.42578125" style="6" bestFit="1" customWidth="1"/>
    <col min="5" max="8" width="4.85546875" style="6" hidden="1" customWidth="1"/>
    <col min="9" max="26" width="4.85546875" style="5" hidden="1" customWidth="1"/>
    <col min="27" max="58" width="4.85546875" style="5" customWidth="1"/>
    <col min="59" max="59" width="109.28515625" style="5" bestFit="1" customWidth="1"/>
    <col min="60" max="16384" width="9.140625" style="5"/>
  </cols>
  <sheetData>
    <row r="2" spans="1:59" x14ac:dyDescent="0.2">
      <c r="D2" s="6" t="s">
        <v>126</v>
      </c>
      <c r="E2" s="7">
        <v>45656</v>
      </c>
      <c r="F2" s="7">
        <f>E2+7</f>
        <v>45663</v>
      </c>
      <c r="G2" s="7">
        <f t="shared" ref="G2:BE2" si="0">F2+7</f>
        <v>45670</v>
      </c>
      <c r="H2" s="7">
        <f t="shared" si="0"/>
        <v>45677</v>
      </c>
      <c r="I2" s="7">
        <f t="shared" si="0"/>
        <v>45684</v>
      </c>
      <c r="J2" s="7">
        <f t="shared" si="0"/>
        <v>45691</v>
      </c>
      <c r="K2" s="7">
        <f t="shared" si="0"/>
        <v>45698</v>
      </c>
      <c r="L2" s="7">
        <f t="shared" si="0"/>
        <v>45705</v>
      </c>
      <c r="M2" s="7">
        <f t="shared" si="0"/>
        <v>45712</v>
      </c>
      <c r="N2" s="7">
        <f t="shared" si="0"/>
        <v>45719</v>
      </c>
      <c r="O2" s="7">
        <f t="shared" si="0"/>
        <v>45726</v>
      </c>
      <c r="P2" s="7">
        <f t="shared" si="0"/>
        <v>45733</v>
      </c>
      <c r="Q2" s="7">
        <f t="shared" si="0"/>
        <v>45740</v>
      </c>
      <c r="R2" s="7">
        <f t="shared" si="0"/>
        <v>45747</v>
      </c>
      <c r="S2" s="7">
        <f t="shared" si="0"/>
        <v>45754</v>
      </c>
      <c r="T2" s="7">
        <f t="shared" si="0"/>
        <v>45761</v>
      </c>
      <c r="U2" s="7">
        <f t="shared" si="0"/>
        <v>45768</v>
      </c>
      <c r="V2" s="7">
        <f t="shared" si="0"/>
        <v>45775</v>
      </c>
      <c r="W2" s="7">
        <f t="shared" si="0"/>
        <v>45782</v>
      </c>
      <c r="X2" s="7">
        <f t="shared" si="0"/>
        <v>45789</v>
      </c>
      <c r="Y2" s="7">
        <f t="shared" si="0"/>
        <v>45796</v>
      </c>
      <c r="Z2" s="7">
        <f t="shared" si="0"/>
        <v>45803</v>
      </c>
      <c r="AA2" s="7">
        <f t="shared" si="0"/>
        <v>45810</v>
      </c>
      <c r="AB2" s="7">
        <f t="shared" si="0"/>
        <v>45817</v>
      </c>
      <c r="AC2" s="7">
        <f t="shared" si="0"/>
        <v>45824</v>
      </c>
      <c r="AD2" s="7">
        <f t="shared" si="0"/>
        <v>45831</v>
      </c>
      <c r="AE2" s="7">
        <f t="shared" si="0"/>
        <v>45838</v>
      </c>
      <c r="AF2" s="7">
        <f t="shared" si="0"/>
        <v>45845</v>
      </c>
      <c r="AG2" s="7">
        <f t="shared" si="0"/>
        <v>45852</v>
      </c>
      <c r="AH2" s="7">
        <f t="shared" si="0"/>
        <v>45859</v>
      </c>
      <c r="AI2" s="7">
        <f t="shared" si="0"/>
        <v>45866</v>
      </c>
      <c r="AJ2" s="7">
        <f t="shared" si="0"/>
        <v>45873</v>
      </c>
      <c r="AK2" s="7">
        <f t="shared" si="0"/>
        <v>45880</v>
      </c>
      <c r="AL2" s="7">
        <f t="shared" si="0"/>
        <v>45887</v>
      </c>
      <c r="AM2" s="7">
        <f t="shared" si="0"/>
        <v>45894</v>
      </c>
      <c r="AN2" s="7">
        <f t="shared" si="0"/>
        <v>45901</v>
      </c>
      <c r="AO2" s="7">
        <f t="shared" si="0"/>
        <v>45908</v>
      </c>
      <c r="AP2" s="7">
        <f t="shared" si="0"/>
        <v>45915</v>
      </c>
      <c r="AQ2" s="7">
        <f t="shared" si="0"/>
        <v>45922</v>
      </c>
      <c r="AR2" s="7">
        <f t="shared" si="0"/>
        <v>45929</v>
      </c>
      <c r="AS2" s="7">
        <f t="shared" si="0"/>
        <v>45936</v>
      </c>
      <c r="AT2" s="7">
        <f t="shared" si="0"/>
        <v>45943</v>
      </c>
      <c r="AU2" s="7">
        <f t="shared" si="0"/>
        <v>45950</v>
      </c>
      <c r="AV2" s="7">
        <f t="shared" si="0"/>
        <v>45957</v>
      </c>
      <c r="AW2" s="7">
        <f t="shared" si="0"/>
        <v>45964</v>
      </c>
      <c r="AX2" s="7">
        <f t="shared" si="0"/>
        <v>45971</v>
      </c>
      <c r="AY2" s="7">
        <f t="shared" si="0"/>
        <v>45978</v>
      </c>
      <c r="AZ2" s="7">
        <f t="shared" si="0"/>
        <v>45985</v>
      </c>
      <c r="BA2" s="7">
        <f t="shared" si="0"/>
        <v>45992</v>
      </c>
      <c r="BB2" s="7">
        <f t="shared" si="0"/>
        <v>45999</v>
      </c>
      <c r="BC2" s="7">
        <f t="shared" si="0"/>
        <v>46006</v>
      </c>
      <c r="BD2" s="7">
        <f t="shared" si="0"/>
        <v>46013</v>
      </c>
      <c r="BE2" s="7">
        <f t="shared" si="0"/>
        <v>46020</v>
      </c>
      <c r="BF2" s="7">
        <v>45297</v>
      </c>
    </row>
    <row r="3" spans="1:59" ht="12" thickBot="1" x14ac:dyDescent="0.25">
      <c r="D3" s="6" t="s">
        <v>127</v>
      </c>
      <c r="E3" s="8">
        <v>1</v>
      </c>
      <c r="F3" s="8">
        <v>2</v>
      </c>
      <c r="G3" s="8">
        <v>3</v>
      </c>
      <c r="H3" s="8">
        <v>4</v>
      </c>
      <c r="I3" s="9">
        <v>5</v>
      </c>
      <c r="J3" s="10">
        <f>I3+1</f>
        <v>6</v>
      </c>
      <c r="K3" s="11">
        <f t="shared" ref="K3:BD3" si="1">J3+1</f>
        <v>7</v>
      </c>
      <c r="L3" s="11">
        <f t="shared" si="1"/>
        <v>8</v>
      </c>
      <c r="M3" s="11">
        <f t="shared" si="1"/>
        <v>9</v>
      </c>
      <c r="N3" s="11">
        <f t="shared" si="1"/>
        <v>10</v>
      </c>
      <c r="O3" s="11">
        <f t="shared" si="1"/>
        <v>11</v>
      </c>
      <c r="P3" s="11">
        <f t="shared" si="1"/>
        <v>12</v>
      </c>
      <c r="Q3" s="11">
        <f t="shared" si="1"/>
        <v>13</v>
      </c>
      <c r="R3" s="11">
        <f t="shared" si="1"/>
        <v>14</v>
      </c>
      <c r="S3" s="11">
        <f t="shared" si="1"/>
        <v>15</v>
      </c>
      <c r="T3" s="11">
        <f t="shared" si="1"/>
        <v>16</v>
      </c>
      <c r="U3" s="11">
        <f t="shared" si="1"/>
        <v>17</v>
      </c>
      <c r="V3" s="11">
        <f t="shared" si="1"/>
        <v>18</v>
      </c>
      <c r="W3" s="11">
        <f t="shared" si="1"/>
        <v>19</v>
      </c>
      <c r="X3" s="11">
        <f t="shared" si="1"/>
        <v>20</v>
      </c>
      <c r="Y3" s="11">
        <f t="shared" si="1"/>
        <v>21</v>
      </c>
      <c r="Z3" s="11">
        <f t="shared" si="1"/>
        <v>22</v>
      </c>
      <c r="AA3" s="11">
        <f t="shared" si="1"/>
        <v>23</v>
      </c>
      <c r="AB3" s="11">
        <f t="shared" si="1"/>
        <v>24</v>
      </c>
      <c r="AC3" s="11">
        <f t="shared" si="1"/>
        <v>25</v>
      </c>
      <c r="AD3" s="11">
        <f t="shared" si="1"/>
        <v>26</v>
      </c>
      <c r="AE3" s="11">
        <f t="shared" si="1"/>
        <v>27</v>
      </c>
      <c r="AF3" s="11">
        <f t="shared" si="1"/>
        <v>28</v>
      </c>
      <c r="AG3" s="11">
        <f t="shared" si="1"/>
        <v>29</v>
      </c>
      <c r="AH3" s="11">
        <f t="shared" si="1"/>
        <v>30</v>
      </c>
      <c r="AI3" s="11">
        <f t="shared" si="1"/>
        <v>31</v>
      </c>
      <c r="AJ3" s="11">
        <f t="shared" si="1"/>
        <v>32</v>
      </c>
      <c r="AK3" s="11">
        <f t="shared" si="1"/>
        <v>33</v>
      </c>
      <c r="AL3" s="11">
        <f t="shared" si="1"/>
        <v>34</v>
      </c>
      <c r="AM3" s="11">
        <f t="shared" si="1"/>
        <v>35</v>
      </c>
      <c r="AN3" s="11">
        <f t="shared" si="1"/>
        <v>36</v>
      </c>
      <c r="AO3" s="11">
        <f t="shared" si="1"/>
        <v>37</v>
      </c>
      <c r="AP3" s="11">
        <f t="shared" si="1"/>
        <v>38</v>
      </c>
      <c r="AQ3" s="11">
        <f t="shared" si="1"/>
        <v>39</v>
      </c>
      <c r="AR3" s="11">
        <f t="shared" si="1"/>
        <v>40</v>
      </c>
      <c r="AS3" s="11">
        <f t="shared" si="1"/>
        <v>41</v>
      </c>
      <c r="AT3" s="11">
        <f t="shared" si="1"/>
        <v>42</v>
      </c>
      <c r="AU3" s="11">
        <f t="shared" si="1"/>
        <v>43</v>
      </c>
      <c r="AV3" s="11">
        <f t="shared" si="1"/>
        <v>44</v>
      </c>
      <c r="AW3" s="11">
        <f t="shared" si="1"/>
        <v>45</v>
      </c>
      <c r="AX3" s="11">
        <f t="shared" si="1"/>
        <v>46</v>
      </c>
      <c r="AY3" s="11">
        <f t="shared" si="1"/>
        <v>47</v>
      </c>
      <c r="AZ3" s="11">
        <f t="shared" si="1"/>
        <v>48</v>
      </c>
      <c r="BA3" s="11">
        <f t="shared" si="1"/>
        <v>49</v>
      </c>
      <c r="BB3" s="11">
        <f t="shared" si="1"/>
        <v>50</v>
      </c>
      <c r="BC3" s="11">
        <f t="shared" si="1"/>
        <v>51</v>
      </c>
      <c r="BD3" s="11">
        <f t="shared" si="1"/>
        <v>52</v>
      </c>
      <c r="BE3" s="11">
        <v>1</v>
      </c>
      <c r="BF3" s="11">
        <v>2</v>
      </c>
      <c r="BG3" s="5" t="s">
        <v>128</v>
      </c>
    </row>
    <row r="4" spans="1:59" ht="12" thickBot="1" x14ac:dyDescent="0.25">
      <c r="A4" s="12" t="s">
        <v>129</v>
      </c>
      <c r="B4" s="13"/>
      <c r="C4" s="14" t="s">
        <v>130</v>
      </c>
      <c r="D4" s="8" t="s">
        <v>131</v>
      </c>
    </row>
    <row r="5" spans="1:59" x14ac:dyDescent="0.2">
      <c r="A5" s="15" t="s">
        <v>132</v>
      </c>
      <c r="B5" s="16"/>
      <c r="C5" s="17"/>
      <c r="D5" s="18" t="s">
        <v>133</v>
      </c>
      <c r="E5" s="19"/>
      <c r="F5" s="20"/>
      <c r="G5" s="21"/>
      <c r="H5" s="22"/>
      <c r="I5" s="23"/>
      <c r="J5" s="24"/>
      <c r="K5" s="20"/>
      <c r="L5" s="25"/>
      <c r="M5" s="22"/>
      <c r="N5" s="23"/>
      <c r="O5" s="24"/>
      <c r="P5" s="25" t="s">
        <v>134</v>
      </c>
      <c r="Q5" s="25" t="s">
        <v>134</v>
      </c>
      <c r="R5" s="21" t="s">
        <v>134</v>
      </c>
      <c r="S5" s="21" t="s">
        <v>134</v>
      </c>
      <c r="T5" s="21" t="s">
        <v>134</v>
      </c>
      <c r="U5" s="25" t="s">
        <v>134</v>
      </c>
      <c r="V5" s="21" t="s">
        <v>134</v>
      </c>
      <c r="W5" s="21" t="s">
        <v>134</v>
      </c>
      <c r="X5" s="21" t="s">
        <v>134</v>
      </c>
      <c r="Y5" s="25" t="s">
        <v>134</v>
      </c>
      <c r="Z5" s="21" t="s">
        <v>134</v>
      </c>
      <c r="AA5" s="21"/>
      <c r="AB5" s="21" t="s">
        <v>134</v>
      </c>
      <c r="AC5" s="25" t="s">
        <v>134</v>
      </c>
      <c r="AD5" s="21" t="s">
        <v>134</v>
      </c>
      <c r="AE5" s="21" t="s">
        <v>134</v>
      </c>
      <c r="AF5" s="25" t="s">
        <v>134</v>
      </c>
      <c r="AG5" s="21" t="s">
        <v>134</v>
      </c>
      <c r="AH5" s="21" t="s">
        <v>134</v>
      </c>
      <c r="AI5" s="21" t="s">
        <v>134</v>
      </c>
      <c r="AJ5" s="21" t="s">
        <v>134</v>
      </c>
      <c r="AK5" s="21" t="s">
        <v>134</v>
      </c>
      <c r="AL5" s="25"/>
      <c r="AM5" s="26"/>
      <c r="AN5" s="26"/>
      <c r="AO5" s="26"/>
      <c r="AP5" s="23"/>
      <c r="AQ5" s="25"/>
      <c r="AR5" s="26"/>
      <c r="AS5" s="26"/>
      <c r="AT5" s="26"/>
      <c r="AU5" s="25"/>
      <c r="AV5" s="26"/>
      <c r="AW5" s="26"/>
      <c r="AX5" s="26"/>
      <c r="AY5" s="25"/>
      <c r="AZ5" s="22"/>
      <c r="BA5" s="22"/>
      <c r="BB5" s="22"/>
      <c r="BC5" s="22"/>
      <c r="BD5" s="23"/>
      <c r="BE5" s="24"/>
      <c r="BF5" s="26"/>
      <c r="BG5" s="27" t="s">
        <v>135</v>
      </c>
    </row>
    <row r="6" spans="1:59" x14ac:dyDescent="0.2">
      <c r="A6" s="28" t="s">
        <v>136</v>
      </c>
      <c r="B6" s="28"/>
      <c r="C6" s="17"/>
      <c r="D6" s="18" t="s">
        <v>137</v>
      </c>
      <c r="E6" s="19"/>
      <c r="F6" s="29"/>
      <c r="G6" s="30"/>
      <c r="H6" s="31"/>
      <c r="I6" s="23"/>
      <c r="J6" s="32"/>
      <c r="K6" s="29"/>
      <c r="L6" s="30"/>
      <c r="M6" s="31"/>
      <c r="N6" s="23"/>
      <c r="O6" s="32"/>
      <c r="P6" s="30" t="s">
        <v>134</v>
      </c>
      <c r="Q6" s="33" t="s">
        <v>134</v>
      </c>
      <c r="R6" s="33" t="s">
        <v>134</v>
      </c>
      <c r="S6" s="29" t="s">
        <v>134</v>
      </c>
      <c r="T6" s="30" t="s">
        <v>134</v>
      </c>
      <c r="U6" s="33" t="s">
        <v>134</v>
      </c>
      <c r="V6" s="33" t="s">
        <v>134</v>
      </c>
      <c r="W6" s="29" t="s">
        <v>134</v>
      </c>
      <c r="X6" s="34" t="s">
        <v>134</v>
      </c>
      <c r="Y6" s="30" t="s">
        <v>134</v>
      </c>
      <c r="Z6" s="33" t="s">
        <v>134</v>
      </c>
      <c r="AA6" s="29" t="s">
        <v>134</v>
      </c>
      <c r="AB6" s="33" t="s">
        <v>134</v>
      </c>
      <c r="AC6" s="30" t="s">
        <v>134</v>
      </c>
      <c r="AD6" s="29" t="s">
        <v>134</v>
      </c>
      <c r="AE6" s="33" t="s">
        <v>134</v>
      </c>
      <c r="AF6" s="33" t="s">
        <v>134</v>
      </c>
      <c r="AG6" s="33" t="s">
        <v>134</v>
      </c>
      <c r="AH6" s="33" t="s">
        <v>134</v>
      </c>
      <c r="AI6" s="29"/>
      <c r="AJ6" s="33" t="s">
        <v>134</v>
      </c>
      <c r="AK6" s="34"/>
      <c r="AL6" s="19"/>
      <c r="AM6" s="29"/>
      <c r="AN6" s="26"/>
      <c r="AO6" s="19"/>
      <c r="AP6" s="19"/>
      <c r="AQ6" s="19"/>
      <c r="AR6" s="29"/>
      <c r="AS6" s="26"/>
      <c r="AT6" s="19"/>
      <c r="AU6" s="19"/>
      <c r="AV6" s="29"/>
      <c r="AW6" s="19"/>
      <c r="AX6" s="26"/>
      <c r="AY6" s="26"/>
      <c r="AZ6" s="29"/>
      <c r="BA6" s="30"/>
      <c r="BB6" s="30"/>
      <c r="BC6" s="31"/>
      <c r="BD6" s="23"/>
      <c r="BE6" s="32"/>
      <c r="BF6" s="26"/>
      <c r="BG6" s="27" t="s">
        <v>138</v>
      </c>
    </row>
    <row r="7" spans="1:59" x14ac:dyDescent="0.2">
      <c r="A7" s="35" t="s">
        <v>139</v>
      </c>
      <c r="B7" s="35"/>
      <c r="C7" s="17"/>
      <c r="D7" s="18" t="s">
        <v>140</v>
      </c>
      <c r="E7" s="19"/>
      <c r="F7" s="19"/>
      <c r="G7" s="36"/>
      <c r="H7" s="36"/>
      <c r="I7" s="37"/>
      <c r="J7" s="30"/>
      <c r="K7" s="19"/>
      <c r="L7" s="38"/>
      <c r="M7" s="36"/>
      <c r="N7" s="37"/>
      <c r="O7" s="30"/>
      <c r="P7" s="30" t="s">
        <v>134</v>
      </c>
      <c r="Q7" s="34" t="s">
        <v>134</v>
      </c>
      <c r="R7" s="30" t="s">
        <v>134</v>
      </c>
      <c r="S7" s="33" t="s">
        <v>134</v>
      </c>
      <c r="T7" s="39" t="s">
        <v>134</v>
      </c>
      <c r="U7" s="33" t="s">
        <v>134</v>
      </c>
      <c r="V7" s="33" t="s">
        <v>134</v>
      </c>
      <c r="W7" s="33" t="s">
        <v>134</v>
      </c>
      <c r="X7" s="39" t="s">
        <v>134</v>
      </c>
      <c r="Y7" s="33"/>
      <c r="AA7" s="30" t="s">
        <v>134</v>
      </c>
      <c r="AB7" s="39" t="s">
        <v>134</v>
      </c>
      <c r="AC7" s="33" t="s">
        <v>134</v>
      </c>
      <c r="AD7" s="40"/>
      <c r="AE7" s="40"/>
      <c r="AF7" s="40"/>
      <c r="AG7" s="40"/>
      <c r="AH7" s="39" t="s">
        <v>134</v>
      </c>
      <c r="AI7" s="19"/>
      <c r="AJ7" s="33" t="s">
        <v>134</v>
      </c>
      <c r="AK7" s="19"/>
      <c r="AL7" s="19"/>
      <c r="AM7" s="19"/>
      <c r="AN7" s="19"/>
      <c r="AO7" s="19"/>
      <c r="AP7" s="39"/>
      <c r="AQ7" s="19"/>
      <c r="AR7" s="23"/>
      <c r="AS7" s="26"/>
      <c r="AT7" s="39"/>
      <c r="AU7" s="19"/>
      <c r="AV7" s="19"/>
      <c r="AW7" s="19"/>
      <c r="AX7" s="39"/>
      <c r="AY7" s="19"/>
      <c r="AZ7" s="23"/>
      <c r="BA7" s="19"/>
      <c r="BB7" s="38"/>
      <c r="BC7" s="31"/>
      <c r="BD7" s="37"/>
      <c r="BE7" s="30"/>
      <c r="BF7" s="19"/>
      <c r="BG7" s="27" t="s">
        <v>138</v>
      </c>
    </row>
    <row r="8" spans="1:59" x14ac:dyDescent="0.2">
      <c r="A8" s="41" t="s">
        <v>141</v>
      </c>
      <c r="B8" s="41"/>
      <c r="C8" s="17" t="s">
        <v>142</v>
      </c>
      <c r="D8" s="18" t="s">
        <v>143</v>
      </c>
      <c r="E8" s="19"/>
      <c r="F8" s="19"/>
      <c r="G8" s="19"/>
      <c r="H8" s="30"/>
      <c r="I8" s="42"/>
      <c r="J8" s="19"/>
      <c r="K8" s="19"/>
      <c r="L8" s="19"/>
      <c r="M8" s="30"/>
      <c r="N8" s="42"/>
      <c r="O8" s="19"/>
      <c r="P8" s="30" t="s">
        <v>134</v>
      </c>
      <c r="Q8" s="33" t="s">
        <v>134</v>
      </c>
      <c r="R8" s="42" t="s">
        <v>134</v>
      </c>
      <c r="S8" s="33" t="s">
        <v>134</v>
      </c>
      <c r="T8" s="33"/>
      <c r="U8" s="33"/>
      <c r="V8" s="33"/>
      <c r="W8" s="43"/>
      <c r="X8" s="33"/>
      <c r="Y8" s="33"/>
      <c r="Z8" s="21"/>
      <c r="AA8" s="33" t="s">
        <v>134</v>
      </c>
      <c r="AB8" s="33" t="s">
        <v>134</v>
      </c>
      <c r="AC8" s="33" t="s">
        <v>134</v>
      </c>
      <c r="AD8" s="33" t="s">
        <v>134</v>
      </c>
      <c r="AE8" s="42" t="s">
        <v>134</v>
      </c>
      <c r="AF8" s="33" t="s">
        <v>134</v>
      </c>
      <c r="AG8" s="42"/>
      <c r="AH8" s="40"/>
      <c r="AI8" s="40"/>
      <c r="AJ8" s="40"/>
      <c r="AK8" s="42"/>
      <c r="AL8" s="19"/>
      <c r="AM8" s="19"/>
      <c r="AN8" s="19"/>
      <c r="AO8" s="42"/>
      <c r="AP8" s="19"/>
      <c r="AQ8" s="19"/>
      <c r="AR8" s="23"/>
      <c r="AS8" s="23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3"/>
      <c r="BE8" s="23"/>
      <c r="BF8" s="23"/>
      <c r="BG8" s="27" t="s">
        <v>135</v>
      </c>
    </row>
    <row r="9" spans="1:59" x14ac:dyDescent="0.2">
      <c r="A9" s="44" t="s">
        <v>144</v>
      </c>
      <c r="B9" s="44"/>
      <c r="C9" s="17" t="s">
        <v>142</v>
      </c>
      <c r="D9" s="18" t="s">
        <v>145</v>
      </c>
      <c r="E9" s="19"/>
      <c r="F9" s="19"/>
      <c r="G9" s="19"/>
      <c r="H9" s="19"/>
      <c r="I9" s="23"/>
      <c r="J9" s="19"/>
      <c r="K9" s="19"/>
      <c r="L9" s="19"/>
      <c r="M9" s="19"/>
      <c r="N9" s="23"/>
      <c r="O9" s="19"/>
      <c r="P9" s="30" t="s">
        <v>134</v>
      </c>
      <c r="Q9" s="33" t="s">
        <v>134</v>
      </c>
      <c r="R9" s="33" t="s">
        <v>134</v>
      </c>
      <c r="S9" s="33" t="s">
        <v>134</v>
      </c>
      <c r="T9" s="33" t="s">
        <v>134</v>
      </c>
      <c r="U9" s="33" t="s">
        <v>134</v>
      </c>
      <c r="V9" s="33" t="s">
        <v>134</v>
      </c>
      <c r="W9" s="33" t="s">
        <v>134</v>
      </c>
      <c r="X9" s="33" t="s">
        <v>134</v>
      </c>
      <c r="Y9" s="33" t="s">
        <v>134</v>
      </c>
      <c r="Z9" s="33" t="s">
        <v>134</v>
      </c>
      <c r="AA9" s="33" t="s">
        <v>134</v>
      </c>
      <c r="AB9" s="43" t="s">
        <v>134</v>
      </c>
      <c r="AC9" s="33" t="s">
        <v>134</v>
      </c>
      <c r="AD9" s="33" t="s">
        <v>134</v>
      </c>
      <c r="AE9" s="33" t="s">
        <v>134</v>
      </c>
      <c r="AF9" s="33" t="s">
        <v>134</v>
      </c>
      <c r="AG9" s="33" t="s">
        <v>134</v>
      </c>
      <c r="AH9" s="23"/>
      <c r="AI9" s="23"/>
      <c r="AJ9" s="33" t="s">
        <v>134</v>
      </c>
      <c r="AK9" s="23"/>
      <c r="AL9" s="23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23"/>
      <c r="BE9" s="19"/>
      <c r="BF9" s="19"/>
      <c r="BG9" s="27" t="s">
        <v>135</v>
      </c>
    </row>
    <row r="10" spans="1:59" x14ac:dyDescent="0.2">
      <c r="A10" s="45" t="s">
        <v>146</v>
      </c>
      <c r="B10" s="45"/>
      <c r="C10" s="17" t="s">
        <v>142</v>
      </c>
      <c r="D10" s="18" t="s">
        <v>147</v>
      </c>
      <c r="E10" s="46"/>
      <c r="F10" s="19"/>
      <c r="G10" s="19"/>
      <c r="H10" s="19"/>
      <c r="I10" s="23"/>
      <c r="J10" s="46"/>
      <c r="K10" s="19"/>
      <c r="L10" s="19"/>
      <c r="M10" s="19"/>
      <c r="N10" s="23"/>
      <c r="O10" s="46"/>
      <c r="P10" s="30" t="s">
        <v>134</v>
      </c>
      <c r="Q10" s="33" t="s">
        <v>134</v>
      </c>
      <c r="R10" s="33" t="s">
        <v>134</v>
      </c>
      <c r="S10" s="33" t="s">
        <v>134</v>
      </c>
      <c r="T10" s="33" t="s">
        <v>134</v>
      </c>
      <c r="U10" s="33" t="s">
        <v>134</v>
      </c>
      <c r="V10" s="47" t="s">
        <v>134</v>
      </c>
      <c r="W10" s="33" t="s">
        <v>134</v>
      </c>
      <c r="X10" s="33" t="s">
        <v>134</v>
      </c>
      <c r="Y10" s="33" t="s">
        <v>134</v>
      </c>
      <c r="Z10" s="47" t="s">
        <v>134</v>
      </c>
      <c r="AA10" s="33" t="s">
        <v>134</v>
      </c>
      <c r="AB10" s="33" t="s">
        <v>134</v>
      </c>
      <c r="AC10" s="33" t="s">
        <v>134</v>
      </c>
      <c r="AD10" s="33" t="s">
        <v>134</v>
      </c>
      <c r="AE10" s="33" t="s">
        <v>134</v>
      </c>
      <c r="AF10" s="33" t="s">
        <v>134</v>
      </c>
      <c r="AG10" s="33" t="s">
        <v>134</v>
      </c>
      <c r="AH10" s="19"/>
      <c r="AI10" s="19"/>
      <c r="AJ10" s="46"/>
      <c r="AK10" s="19"/>
      <c r="AL10" s="19"/>
      <c r="AM10" s="19"/>
      <c r="AN10" s="46"/>
      <c r="AO10" s="19"/>
      <c r="AP10" s="19"/>
      <c r="AQ10" s="19"/>
      <c r="AR10" s="19"/>
      <c r="AS10" s="46"/>
      <c r="AT10" s="19"/>
      <c r="AU10" s="19"/>
      <c r="AV10" s="19"/>
      <c r="AW10" s="46"/>
      <c r="AX10" s="19"/>
      <c r="AY10" s="19"/>
      <c r="AZ10" s="19"/>
      <c r="BA10" s="46"/>
      <c r="BB10" s="19"/>
      <c r="BC10" s="19"/>
      <c r="BD10" s="23"/>
      <c r="BE10" s="19"/>
      <c r="BF10" s="19"/>
      <c r="BG10" s="27" t="s">
        <v>135</v>
      </c>
    </row>
    <row r="11" spans="1:59" x14ac:dyDescent="0.2">
      <c r="A11" s="5" t="s">
        <v>148</v>
      </c>
      <c r="B11" s="5" t="s">
        <v>149</v>
      </c>
      <c r="C11" s="17"/>
      <c r="D11" s="18" t="s">
        <v>150</v>
      </c>
      <c r="E11" s="5"/>
      <c r="F11" s="5"/>
      <c r="G11" s="5"/>
      <c r="H11" s="5"/>
    </row>
    <row r="12" spans="1:59" ht="18" x14ac:dyDescent="0.25">
      <c r="A12" s="48" t="s">
        <v>151</v>
      </c>
      <c r="B12" s="49"/>
      <c r="C12" s="49"/>
      <c r="D12" s="50"/>
      <c r="E12" s="51" t="s">
        <v>152</v>
      </c>
      <c r="F12" s="50"/>
      <c r="H12" s="50"/>
      <c r="AF12" s="52"/>
    </row>
    <row r="13" spans="1:59" ht="18" x14ac:dyDescent="0.25">
      <c r="D13" s="50"/>
      <c r="Y13" s="51" t="s">
        <v>152</v>
      </c>
      <c r="BG13" s="51" t="s">
        <v>152</v>
      </c>
    </row>
    <row r="14" spans="1:59" x14ac:dyDescent="0.2">
      <c r="A14" s="49"/>
      <c r="B14" s="49"/>
      <c r="C14" s="49"/>
      <c r="D14" s="50"/>
      <c r="E14" s="50"/>
      <c r="F14" s="50"/>
      <c r="G14" s="50"/>
      <c r="H14" s="50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</row>
    <row r="15" spans="1:59" ht="15" x14ac:dyDescent="0.25">
      <c r="A15"/>
      <c r="B15" s="49"/>
      <c r="C15" s="49"/>
      <c r="D15" s="50"/>
      <c r="E15" s="50"/>
      <c r="F15" s="50"/>
      <c r="G15" s="50"/>
      <c r="H15" s="50"/>
    </row>
    <row r="16" spans="1:59" x14ac:dyDescent="0.2">
      <c r="A16" s="49" t="s">
        <v>13</v>
      </c>
      <c r="B16" s="49"/>
      <c r="C16" s="49"/>
      <c r="D16" s="50"/>
      <c r="E16" s="50"/>
      <c r="F16" s="50"/>
      <c r="G16" s="50"/>
      <c r="H16" s="50"/>
      <c r="V16" s="53"/>
    </row>
    <row r="17" spans="1:38" x14ac:dyDescent="0.2">
      <c r="A17" s="49" t="str" cm="1">
        <f t="array" aca="1" ref="A17" ca="1">FindColorBelowWeekAnywhere(AA3:BD10)</f>
        <v>Tomas Jansson</v>
      </c>
      <c r="B17" s="49"/>
      <c r="C17" s="15" t="s">
        <v>132</v>
      </c>
      <c r="D17" s="18" t="s">
        <v>133</v>
      </c>
      <c r="E17" s="50"/>
      <c r="F17" s="50"/>
      <c r="G17" s="50"/>
      <c r="H17" s="50"/>
      <c r="AA17" s="5" t="str">
        <f ca="1">A17</f>
        <v>Tomas Jansson</v>
      </c>
      <c r="AB17" s="5" t="str">
        <f ca="1">VLOOKUP(AA17,C17:D21,2,0)</f>
        <v>+46-70 688 7594</v>
      </c>
    </row>
    <row r="18" spans="1:38" x14ac:dyDescent="0.2">
      <c r="A18" s="49"/>
      <c r="B18" s="49"/>
      <c r="C18" s="28" t="s">
        <v>136</v>
      </c>
      <c r="D18" s="18" t="s">
        <v>137</v>
      </c>
      <c r="E18" s="50"/>
    </row>
    <row r="19" spans="1:38" x14ac:dyDescent="0.2">
      <c r="A19" s="49"/>
      <c r="B19" s="49"/>
      <c r="C19" s="35" t="s">
        <v>139</v>
      </c>
      <c r="D19" s="18" t="s">
        <v>140</v>
      </c>
      <c r="E19" s="50"/>
    </row>
    <row r="20" spans="1:38" x14ac:dyDescent="0.2">
      <c r="A20" s="49"/>
      <c r="B20" s="49"/>
      <c r="C20" s="41" t="s">
        <v>141</v>
      </c>
      <c r="D20" s="18" t="s">
        <v>143</v>
      </c>
      <c r="E20" s="50"/>
    </row>
    <row r="21" spans="1:38" x14ac:dyDescent="0.2">
      <c r="A21" s="49"/>
      <c r="B21" s="49"/>
      <c r="C21" s="44" t="s">
        <v>144</v>
      </c>
      <c r="D21" s="18" t="s">
        <v>145</v>
      </c>
      <c r="E21" s="50"/>
      <c r="F21" s="50"/>
      <c r="G21" s="50"/>
      <c r="H21" s="50"/>
    </row>
    <row r="22" spans="1:38" x14ac:dyDescent="0.2">
      <c r="A22" s="49"/>
      <c r="B22" s="49"/>
      <c r="C22" s="45" t="s">
        <v>146</v>
      </c>
      <c r="D22" s="18" t="s">
        <v>147</v>
      </c>
      <c r="E22" s="50"/>
      <c r="F22" s="50"/>
      <c r="G22" s="50"/>
      <c r="H22" s="50"/>
    </row>
    <row r="23" spans="1:38" x14ac:dyDescent="0.2">
      <c r="A23" s="49"/>
      <c r="B23" s="49"/>
      <c r="C23" s="49"/>
      <c r="D23" s="50"/>
      <c r="E23" s="50"/>
      <c r="F23" s="50"/>
      <c r="G23" s="50"/>
      <c r="H23" s="50"/>
    </row>
    <row r="24" spans="1:38" x14ac:dyDescent="0.2">
      <c r="A24" s="49"/>
      <c r="B24" s="49"/>
      <c r="C24" s="49"/>
      <c r="D24" s="50"/>
      <c r="E24" s="50"/>
      <c r="F24" s="50"/>
      <c r="G24" s="50"/>
      <c r="H24" s="50"/>
      <c r="AK24" s="17"/>
      <c r="AL24" s="17"/>
    </row>
    <row r="26" spans="1:38" x14ac:dyDescent="0.2">
      <c r="D26" s="50"/>
      <c r="E26" s="50"/>
      <c r="F26" s="50"/>
      <c r="G26" s="50"/>
      <c r="H26" s="5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5501E5D-F794-4FE6-BC59-18C4BD2732BD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eb4425a1-30d0-4cf3-a093-e7aec1c2804d}" enabled="1" method="Standard" siteId="{87789cc7-933c-4e19-99b3-73a1953e3df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OnCall</vt:lpstr>
      <vt:lpstr>DCOPERATOR</vt:lpstr>
      <vt:lpstr>Windows</vt:lpstr>
      <vt:lpstr>Iseries</vt:lpstr>
      <vt:lpstr>DCUNIX</vt:lpstr>
      <vt:lpstr>Network</vt:lpstr>
      <vt:lpstr>WebTeam</vt:lpstr>
      <vt:lpstr>MYSQL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Kharche, Prasanna - Ext</dc:creator>
  <cp:lastModifiedBy>Kharche, Prasanna - Ext</cp:lastModifiedBy>
  <dcterms:created xsi:type="dcterms:W3CDTF">2025-07-06T08:24:11Z</dcterms:created>
  <dcterms:modified xsi:type="dcterms:W3CDTF">2025-07-08T08:54:59Z</dcterms:modified>
</cp:coreProperties>
</file>